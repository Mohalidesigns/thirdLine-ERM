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orecard" sheetId="2" state="visible" r:id="rId4"/>
    <sheet name="Corporater Parity" sheetId="3" state="visible" r:id="rId5"/>
    <sheet name="P0-P1 Backlog" sheetId="4" state="visible" r:id="rId6"/>
    <sheet name="Legend" sheetId="5" state="visible" r:id="rId7"/>
  </sheets>
  <definedNames>
    <definedName function="false" hidden="true" localSheetId="2" name="_xlnm._FilterDatabase" vbProcedure="false">'Corporater Parity'!$A$4:$F$68</definedName>
    <definedName function="false" hidden="true" localSheetId="3" name="_xlnm._FilterDatabase" vbProcedure="false">'P0-P1 Backlog'!$A$4:$F$102</definedName>
    <definedName function="false" hidden="true" localSheetId="1" name="_xlnm._FilterDatabase" vbProcedure="false">Scorecard!$A$1:$I$351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<sst xmlns="http://schemas.openxmlformats.org/spreadsheetml/2006/main" count="3699" uniqueCount="849">
  <si>
    <t xml:space="preserve">ERM Gap Analysis Scorecard</t>
  </si>
  <si>
    <t xml:space="preserve">Current solution benchmarked against Corporater ERM and the world-class ERM/GRC field</t>
  </si>
  <si>
    <t xml:space="preserve">Prepared 8 August 2026  |  Companion to 00_ERM_REMODEL_MASTER_PLAN.md and 01_EXECUTION_PROMPT_PACK.md</t>
  </si>
  <si>
    <t xml:space="preserve">Coverage by domain</t>
  </si>
  <si>
    <t xml:space="preserve">Domain</t>
  </si>
  <si>
    <t xml:space="preserve">Items</t>
  </si>
  <si>
    <t xml:space="preserve">Strong</t>
  </si>
  <si>
    <t xml:space="preserve">Present</t>
  </si>
  <si>
    <t xml:space="preserve">Partial</t>
  </si>
  <si>
    <t xml:space="preserve">Mock</t>
  </si>
  <si>
    <t xml:space="preserve">Absent</t>
  </si>
  <si>
    <t xml:space="preserve">Covered (Strong+Present)</t>
  </si>
  <si>
    <t xml:space="preserve">Coverage %</t>
  </si>
  <si>
    <t xml:space="preserve">Weighted coverage %</t>
  </si>
  <si>
    <t xml:space="preserve">P0</t>
  </si>
  <si>
    <t xml:space="preserve">P1</t>
  </si>
  <si>
    <t xml:space="preserve">A. Platform architecture &amp; data model</t>
  </si>
  <si>
    <t xml:space="preserve">B. Risk taxonomy, register &amp; appetite</t>
  </si>
  <si>
    <t xml:space="preserve">C. Assessment, analysis &amp; methodology</t>
  </si>
  <si>
    <t xml:space="preserve">D. Risk quantification</t>
  </si>
  <si>
    <t xml:space="preserve">E. Controls &amp; control monitoring</t>
  </si>
  <si>
    <t xml:space="preserve">F. Compliance, obligations &amp; regulatory change</t>
  </si>
  <si>
    <t xml:space="preserve">G. Policy management</t>
  </si>
  <si>
    <t xml:space="preserve">H. Internal audit &amp; assurance</t>
  </si>
  <si>
    <t xml:space="preserve">I. Incidents, events, issues &amp; actions</t>
  </si>
  <si>
    <t xml:space="preserve">J. Third-party &amp; supply chain risk</t>
  </si>
  <si>
    <t xml:space="preserve">K. Operational resilience &amp; BCM</t>
  </si>
  <si>
    <t xml:space="preserve">L. ESG &amp; sustainability</t>
  </si>
  <si>
    <t xml:space="preserve">M. Strategy &amp; performance</t>
  </si>
  <si>
    <t xml:space="preserve">N. Reporting, dashboards &amp; analytics</t>
  </si>
  <si>
    <t xml:space="preserve">O. AI &amp; intelligent automation</t>
  </si>
  <si>
    <t xml:space="preserve">P. Integration &amp; data</t>
  </si>
  <si>
    <t xml:space="preserve">Q. UX, configurability &amp; accessibility</t>
  </si>
  <si>
    <t xml:space="preserve">R. Security, administration &amp; platform governance</t>
  </si>
  <si>
    <t xml:space="preserve">S. Deployment, delivery &amp; commercial</t>
  </si>
  <si>
    <t xml:space="preserve">T. Nigeria &amp; Africa environment (our own domain)</t>
  </si>
  <si>
    <t xml:space="preserve">TOTAL</t>
  </si>
  <si>
    <t xml:space="preserve">Coverage by capability class</t>
  </si>
  <si>
    <t xml:space="preserve">Class</t>
  </si>
  <si>
    <t xml:space="preserve">Meaning</t>
  </si>
  <si>
    <t xml:space="preserve">Covered</t>
  </si>
  <si>
    <t xml:space="preserve">TS</t>
  </si>
  <si>
    <t xml:space="preserve">Table stakes — absence disqualifies you</t>
  </si>
  <si>
    <t xml:space="preserve">D</t>
  </si>
  <si>
    <t xml:space="preserve">Differentiator — separates good from average</t>
  </si>
  <si>
    <t xml:space="preserve">LE</t>
  </si>
  <si>
    <t xml:space="preserve">Leading edge — few vendors have it in 2026; where you can win</t>
  </si>
  <si>
    <t xml:space="preserve">Backlog by priority</t>
  </si>
  <si>
    <t xml:space="preserve">Priority</t>
  </si>
  <si>
    <t xml:space="preserve">Blocker — unsellable / unsafe until fixed (Phase 0)</t>
  </si>
  <si>
    <t xml:space="preserve">Parity — required to match Corporater (Phases 1-2)</t>
  </si>
  <si>
    <t xml:space="preserve">P2</t>
  </si>
  <si>
    <t xml:space="preserve">Moat — where we win (Phases 3-4)</t>
  </si>
  <si>
    <t xml:space="preserve">P3</t>
  </si>
  <si>
    <t xml:space="preserve">Beyond — deferrable</t>
  </si>
  <si>
    <t xml:space="preserve">How to read this</t>
  </si>
  <si>
    <t xml:space="preserve">•  Current state assessed from a full read of all 60 migrations, routes/web.php, 20 models, 10 of 14 services and targeted controller method bodies, then independently re-verified against the codebase claim by claim.</t>
  </si>
  <si>
    <t xml:space="preserve">•  Coverage % counts only Strong + Present. Weighted coverage % scores Strong 1.00, Present 0.85, Partial 0.40, Mock 0.05, Absent 0.00.</t>
  </si>
  <si>
    <t xml:space="preserve">•  'Mock' means the feature renders but the numbers are fabricated (mt_rand). Mock is scored below Partial deliberately — it is worse than absent because it is a reputational risk.</t>
  </si>
  <si>
    <t xml:space="preserve">•  Corporater column reflects their published solution feature list, solution brief and product screenshots. 'Unknown' means not evidenced publicly.</t>
  </si>
  <si>
    <t xml:space="preserve">•  Domain T is our own addition — the Nigerian and African environment requirements that no global checklist covers, and where the durable moat is.</t>
  </si>
  <si>
    <t xml:space="preserve">•  Work package references map to 01_EXECUTION_PROMPT_PACK.md.</t>
  </si>
  <si>
    <t xml:space="preserve">#</t>
  </si>
  <si>
    <t xml:space="preserve">Capability</t>
  </si>
  <si>
    <t xml:space="preserve">Corporater</t>
  </si>
  <si>
    <t xml:space="preserve">Current state</t>
  </si>
  <si>
    <t xml:space="preserve">Work package</t>
  </si>
  <si>
    <t xml:space="preserve">Evidence / note</t>
  </si>
  <si>
    <t xml:space="preserve">Metadata-driven object model; new fields without code deployment</t>
  </si>
  <si>
    <t xml:space="preserve">Yes</t>
  </si>
  <si>
    <t xml:space="preserve">WP-03, WP-05</t>
  </si>
  <si>
    <t xml:space="preserve">No metadata layer; all fields are DDL columns</t>
  </si>
  <si>
    <t xml:space="preserve">Configurable object types (not just fields)</t>
  </si>
  <si>
    <t xml:space="preserve">entity_types carries only icon/color/level — no attribute schema</t>
  </si>
  <si>
    <t xml:space="preserve">Configurable, typed relationships between any object types</t>
  </si>
  <si>
    <t xml:space="preserve">WP-03</t>
  </si>
  <si>
    <t xml:space="preserve">Relationships are hardcoded pivots</t>
  </si>
  <si>
    <t xml:space="preserve">Digital-twin org graph (entity, division, BU, process, system, asset, product, geography)</t>
  </si>
  <si>
    <t xml:space="preserve">entities/entity_types is an embryonic version; runs in parallel with business_units — two org models</t>
  </si>
  <si>
    <t xml:space="preserve">Object inheritance/templating so common behaviour is defined once</t>
  </si>
  <si>
    <t xml:space="preserve">Period-aware measure model shared by KPIs and KRIs</t>
  </si>
  <si>
    <t xml:space="preserve">WP-04</t>
  </si>
  <si>
    <t xml:space="preserve">Risk scores are single-valued; no period dimension anywhere</t>
  </si>
  <si>
    <t xml:space="preserve">Point-in-time reconstruction of any object's state ('as at' queries)</t>
  </si>
  <si>
    <t xml:space="preserve">Reconstructable only indirectly from risk_assessments</t>
  </si>
  <si>
    <t xml:space="preserve">Full versioning and immutable audit trail on every object and field</t>
  </si>
  <si>
    <t xml:space="preserve">WP-00, WP-03</t>
  </si>
  <si>
    <t xml:space="preserve">Field-level trail exists but is broken: AuditTrailService writes 'Risk', Risk::auditTrail() queries 'risk'</t>
  </si>
  <si>
    <t xml:space="preserve">Soft delete, archival, configurable retention policies</t>
  </si>
  <si>
    <t xml:space="preserve">softDeletes on users/entities only; no retention policy</t>
  </si>
  <si>
    <t xml:space="preserve">Hierarchical roll-up and aggregation derived from the graph</t>
  </si>
  <si>
    <t xml:space="preserve">Risk::calculateRollUpScore() exists but is risk-specific, not graph-derived</t>
  </si>
  <si>
    <t xml:space="preserve">Multi-entity / multi-org support with data segregation</t>
  </si>
  <si>
    <t xml:space="preserve">WP-00</t>
  </si>
  <si>
    <t xml:space="preserve">organization_id on every table but ZERO global scopes; 166 uses of '?? 1' across 22 files; MonteCarloService line 49 reads scenarios with no org filter</t>
  </si>
  <si>
    <t xml:space="preserve">Multi-tenancy with per-tenant configuration divergence</t>
  </si>
  <si>
    <t xml:space="preserve">WP-05</t>
  </si>
  <si>
    <t xml:space="preserve">Configurable lifecycle states and status models per object type</t>
  </si>
  <si>
    <t xml:space="preserve">Status is a hardcoded enum/string per table</t>
  </si>
  <si>
    <t xml:space="preserve">Calculated/derived fields with a formula engine</t>
  </si>
  <si>
    <t xml:space="preserve">WP-04, WP-05</t>
  </si>
  <si>
    <t xml:space="preserve">Needed for inflation-indexed thresholds</t>
  </si>
  <si>
    <t xml:space="preserve">Configuration as a versioned artefact with dev-&gt;test-&gt;prod promotion, diff, rollback</t>
  </si>
  <si>
    <t xml:space="preserve">Unknown</t>
  </si>
  <si>
    <t xml:space="preserve">Where most configurable platforms fail — real differentiator</t>
  </si>
  <si>
    <t xml:space="preserve">Bulk import/export at object level with validation and error reporting</t>
  </si>
  <si>
    <t xml:space="preserve">WP-02, WP-07</t>
  </si>
  <si>
    <t xml:space="preserve">CSV only; xlsx accepted but parsed with fgetcsv; insert-only, no dry-run, no rollback</t>
  </si>
  <si>
    <t xml:space="preserve">Reference/content library with versioned framework packs</t>
  </si>
  <si>
    <t xml:space="preserve">WP-16</t>
  </si>
  <si>
    <t xml:space="preserve">The moat, productised</t>
  </si>
  <si>
    <t xml:space="preserve">Graph query capability exposed to users and AI agents</t>
  </si>
  <si>
    <t xml:space="preserve">No</t>
  </si>
  <si>
    <t xml:space="preserve">WP-03, WP-07</t>
  </si>
  <si>
    <t xml:space="preserve">Horizontal scalability; documented performance limits</t>
  </si>
  <si>
    <t xml:space="preserve">WP-07</t>
  </si>
  <si>
    <t xml:space="preserve">No load testing; Monte Carlo runs synchronously in HTTP</t>
  </si>
  <si>
    <t xml:space="preserve">Sub-second response on registers of 100k+ objects</t>
  </si>
  <si>
    <t xml:space="preserve">WP-09</t>
  </si>
  <si>
    <t xml:space="preserve">Localisation of the object model (labels, taxonomies, content per language)</t>
  </si>
  <si>
    <t xml:space="preserve">No lang/ directory; 28 __() calls across 142 views</t>
  </si>
  <si>
    <t xml:space="preserve">Currency handling with FX rates by period</t>
  </si>
  <si>
    <t xml:space="preserve">WP-04, WP-15</t>
  </si>
  <si>
    <t xml:space="preserve">loss_events.currency is the only currency field and is unused</t>
  </si>
  <si>
    <t xml:space="preserve">Sandbox / what-if branching</t>
  </si>
  <si>
    <t xml:space="preserve">Event-sourced change log enabling replay</t>
  </si>
  <si>
    <t xml:space="preserve">domain_events outbox exists with retry counters</t>
  </si>
  <si>
    <t xml:space="preserve">Central risk register with configurable fields</t>
  </si>
  <si>
    <t xml:space="preserve">Register is strong; fields are not configurable</t>
  </si>
  <si>
    <t xml:space="preserve">Configurable multi-level risk taxonomy (3+ levels)</t>
  </si>
  <si>
    <t xml:space="preserve">WP-10</t>
  </si>
  <si>
    <t xml:space="preserve">risk_categories: self-tree, level, materialized path, cbn_mapping_code, basel_category</t>
  </si>
  <si>
    <t xml:space="preserve">Multiple simultaneous taxonomies on one risk</t>
  </si>
  <si>
    <t xml:space="preserve">One category_id only; risk_taxonomies is a disconnected parallel tree with its own live UI</t>
  </si>
  <si>
    <t xml:space="preserve">Risk hierarchy — parent/child, aggregation into themes and principal risks</t>
  </si>
  <si>
    <t xml:space="preserve">-</t>
  </si>
  <si>
    <t xml:space="preserve">parent_risk_id, risk_level, hierarchy_path, roll_up_weight, calculateRollUpScore()</t>
  </si>
  <si>
    <t xml:space="preserve">Risk ownership with named accountable individual and delegation</t>
  </si>
  <si>
    <t xml:space="preserve">risk_owner_id + risk_steward_id; entities have delegate_owner_id</t>
  </si>
  <si>
    <t xml:space="preserve">Cause -&gt; risk event -&gt; consequence structure</t>
  </si>
  <si>
    <t xml:space="preserve">A risk is a title plus scores; ISO 31000 requires structure</t>
  </si>
  <si>
    <t xml:space="preserve">Opportunity modelling alongside threat (ISO 31000 bidirectional)</t>
  </si>
  <si>
    <t xml:space="preserve">Corporater ships an opportunity heat map; we have no opportunity model at all</t>
  </si>
  <si>
    <t xml:space="preserve">Inherent, current/residual and target risk levels</t>
  </si>
  <si>
    <t xml:space="preserve">target_rating is a STRING LABEL ONLY — no target L/I/score, so target cannot be plotted</t>
  </si>
  <si>
    <t xml:space="preserve">Risk velocity, persistence and proximity attributes</t>
  </si>
  <si>
    <t xml:space="preserve">risk_velocity exists; proximity and persistence do not</t>
  </si>
  <si>
    <t xml:space="preserve">Emerging risk register distinct from the principal register</t>
  </si>
  <si>
    <t xml:space="preserve">WP-02, WP-10</t>
  </si>
  <si>
    <t xml:space="preserve">ai/radar page is mt_rand-generated</t>
  </si>
  <si>
    <t xml:space="preserve">Configurable likelihood and consequence scales with definitions per point</t>
  </si>
  <si>
    <t xml:space="preserve">5x5 hardcoded in 3 places; settings written but read by nothing</t>
  </si>
  <si>
    <t xml:space="preserve">Multi-dimensional consequence categories</t>
  </si>
  <si>
    <t xml:space="preserve">financial/operational/reputational/regulatory (+strategic on assessments)</t>
  </si>
  <si>
    <t xml:space="preserve">Scales configurable per organizational unit and per risk type</t>
  </si>
  <si>
    <t xml:space="preserve">Risk appetite statements as first-class objects linked to objectives</t>
  </si>
  <si>
    <t xml:space="preserve">Keyed to risk_category_id only; not linked to objectives or nodes</t>
  </si>
  <si>
    <t xml:space="preserve">Quantified appetite/tolerance thresholds with automatic breach detection</t>
  </si>
  <si>
    <t xml:space="preserve">Single tolerance band; RiskAppetiteService reads 5 columns that do not exist - capacity, appetite_type and notes are always fallbacks</t>
  </si>
  <si>
    <t xml:space="preserve">Currency-denominated appetite with stated probability of exceedance</t>
  </si>
  <si>
    <t xml:space="preserve">WP-10, WP-18</t>
  </si>
  <si>
    <t xml:space="preserve">White space; unlocked by quantification L5</t>
  </si>
  <si>
    <t xml:space="preserve">Risk appetite cascade — group appetite decomposed to BU limits</t>
  </si>
  <si>
    <t xml:space="preserve">entities.category_appetites exists but is unused</t>
  </si>
  <si>
    <t xml:space="preserve">Risk interdependency / correlation mapping</t>
  </si>
  <si>
    <t xml:space="preserve">risk_related_risks with relationship_type + correlation_strength</t>
  </si>
  <si>
    <t xml:space="preserve">Risk network visualisation showing contagion and concentration</t>
  </si>
  <si>
    <t xml:space="preserve">WP-08</t>
  </si>
  <si>
    <t xml:space="preserve">Risk acceptance workflow with sign-off, expiry and re-review</t>
  </si>
  <si>
    <t xml:space="preserve">treatment_strategy can be 'accept' with zero governance</t>
  </si>
  <si>
    <t xml:space="preserve">Configurable assessment campaigns with scheduling and reminders</t>
  </si>
  <si>
    <t xml:space="preserve">assessment_campaigns -&gt; campaign_assignments -&gt; campaign_responses</t>
  </si>
  <si>
    <t xml:space="preserve">RCSA with full lifecycle (scope, distribute, respond, challenge, sign-off)</t>
  </si>
  <si>
    <t xml:space="preserve">WP-02, WP-11</t>
  </si>
  <si>
    <t xml:space="preserve">RcsaController::storeWorksheet() IS A STUB — submissions silently discarded</t>
  </si>
  <si>
    <t xml:space="preserve">Prior-period pre-population with change highlighting</t>
  </si>
  <si>
    <t xml:space="preserve">WP-11</t>
  </si>
  <si>
    <t xml:space="preserve">Requires the period model</t>
  </si>
  <si>
    <t xml:space="preserve">Second-line challenge and override workflow</t>
  </si>
  <si>
    <t xml:space="preserve">Questionnaire builder with conditional logic, scoring and weighting</t>
  </si>
  <si>
    <t xml:space="preserve">Schema is AHEAD of market (8 types, conditional_logic, scoring_rules); UI is 915 bytes</t>
  </si>
  <si>
    <t xml:space="preserve">Heat maps with configurable axes, bubble sizing and drill-through</t>
  </si>
  <si>
    <t xml:space="preserve">WP-08, WP-11</t>
  </si>
  <si>
    <t xml:space="preserve">Hardcoded 5x5; no cell counts; no drill-through</t>
  </si>
  <si>
    <t xml:space="preserve">Heat map movement / trend visualisation across periods</t>
  </si>
  <si>
    <t xml:space="preserve">WP-04, WP-08</t>
  </si>
  <si>
    <t xml:space="preserve">Native bow-tie with barriers, escalation factors and barrier effectiveness</t>
  </si>
  <si>
    <t xml:space="preserve">Read-only and derived — buildCauses()/buildConsequences() synthesize nodes</t>
  </si>
  <si>
    <t xml:space="preserve">FMEA/FMECA with SxOxD, RPN and AIAG-VDA Action Priority</t>
  </si>
  <si>
    <t xml:space="preserve">HAZOP with node/parameter/guide-word structure</t>
  </si>
  <si>
    <t xml:space="preserve">Relevant for energy and manufacturing customers</t>
  </si>
  <si>
    <t xml:space="preserve">Root cause analysis (5 Whys, fishbone)</t>
  </si>
  <si>
    <t xml:space="preserve">loss_event_rca with why_1..why_5, contributory factors, own approval chain</t>
  </si>
  <si>
    <t xml:space="preserve">Fault tree and event tree analysis</t>
  </si>
  <si>
    <t xml:space="preserve">Scenario analysis with workshop capture, participants and approval</t>
  </si>
  <si>
    <t xml:space="preserve">WP-18</t>
  </si>
  <si>
    <t xml:space="preserve">quantification_scenarios has calibration and approval fields</t>
  </si>
  <si>
    <t xml:space="preserve">Structured expert elicitation with calibration training and bias controls</t>
  </si>
  <si>
    <t xml:space="preserve">Control effectiveness feeding residual risk transparently</t>
  </si>
  <si>
    <t xml:space="preserve">Weighted aggregation via control_weight; but TWO conflicting effectiveness maps exist</t>
  </si>
  <si>
    <t xml:space="preserve">Assessment quality analytics — outlier, boilerplate, peer comparison</t>
  </si>
  <si>
    <t xml:space="preserve">AI-assisted RCSA — draft, flag inconsistencies, summarise challenge</t>
  </si>
  <si>
    <t xml:space="preserve">WP-29</t>
  </si>
  <si>
    <t xml:space="preserve">Attacks the biggest quality problem in ERM; almost nobody does it well</t>
  </si>
  <si>
    <t xml:space="preserve">Assessment audit trail — who scored what, when and why</t>
  </si>
  <si>
    <t xml:space="preserve">risk_assessments with rationale, justification, previous_assessment_id chain</t>
  </si>
  <si>
    <t xml:space="preserve">Delphi / multi-round anonymous estimation</t>
  </si>
  <si>
    <t xml:space="preserve">Maturity assessments against framework principles</t>
  </si>
  <si>
    <t xml:space="preserve">COSO ERM 20 principles, COSO IC 17 principles, ISO 31000 clauses, NIST tiers</t>
  </si>
  <si>
    <t xml:space="preserve">Assurance mapping across the three lines with coverage and gap view</t>
  </si>
  <si>
    <t xml:space="preserve">WP-24</t>
  </si>
  <si>
    <t xml:space="preserve">Automatic detection of over-assurance and assurance gaps</t>
  </si>
  <si>
    <t xml:space="preserve">Semi-quantitative currency ranges on impact</t>
  </si>
  <si>
    <t xml:space="preserve">financial_exposure_ngn exists; scale points carry no currency bands</t>
  </si>
  <si>
    <t xml:space="preserve">Expected loss calculation (frequency x severity)</t>
  </si>
  <si>
    <t xml:space="preserve">expected_annual_loss_kobo on scenarios</t>
  </si>
  <si>
    <t xml:space="preserve">Monte Carlo engine with configurable iterations and seeds</t>
  </si>
  <si>
    <t xml:space="preserve">10,000 iterations default; RUNS SYNCHRONOUSLY IN THE HTTP REQUEST; no seed control</t>
  </si>
  <si>
    <t xml:space="preserve">Distribution library (PERT, triangular, lognormal, Poisson, neg-binomial, Weibull, Pareto, GPD, empirical)</t>
  </si>
  <si>
    <t xml:space="preserve">Poisson + Lognormal ONLY in code; columns exist for binomial/Pareto/GPD/Weibull</t>
  </si>
  <si>
    <t xml:space="preserve">Distribution fitting to historical loss data with goodness-of-fit</t>
  </si>
  <si>
    <t xml:space="preserve">We have the loss data to fit to — real advantage</t>
  </si>
  <si>
    <t xml:space="preserve">FAIR-conformant decomposition (TEF, Vuln, PL, SLEF, SLM, six loss forms)</t>
  </si>
  <si>
    <t xml:space="preserve">Corporater has no evidence of FAIR</t>
  </si>
  <si>
    <t xml:space="preserve">FAIR-CAM control analytics</t>
  </si>
  <si>
    <t xml:space="preserve">WP-19</t>
  </si>
  <si>
    <t xml:space="preserve">FAIR-MAM materiality assessment</t>
  </si>
  <si>
    <t xml:space="preserve">Loss exceedance curves as a primary board visual</t>
  </si>
  <si>
    <t xml:space="preserve">Should replace the heat map as the board visual</t>
  </si>
  <si>
    <t xml:space="preserve">ALE, VaR and CVaR/Expected Shortfall at configurable confidence levels</t>
  </si>
  <si>
    <t xml:space="preserve">VaR at 90/95/99/99.9 exists; CVaR does not</t>
  </si>
  <si>
    <t xml:space="preserve">Portfolio aggregation with correlation (rank correlation, copulas)</t>
  </si>
  <si>
    <t xml:space="preserve">correlation_method DEFAULTS TO 'GAUSSIAN_COPULA' but NO COPULA IS IMPLEMENTED</t>
  </si>
  <si>
    <t xml:space="preserve">Sensitivity / tornado analysis</t>
  </si>
  <si>
    <t xml:space="preserve">Corporater ships EBITDA/FCF/NPV tornado bars</t>
  </si>
  <si>
    <t xml:space="preserve">Control ROI / cost-benefit optimisation</t>
  </si>
  <si>
    <t xml:space="preserve">'This N400m control reduces 95th-percentile loss by N3.1bn' sells the product</t>
  </si>
  <si>
    <t xml:space="preserve">Scenario-based stress testing and reverse stress testing</t>
  </si>
  <si>
    <t xml:space="preserve">stress_multiplier_* and stress_config are STORED AND NEVER APPLIED</t>
  </si>
  <si>
    <t xml:space="preserve">LDA — separate frequency/severity, EVT/POT tails, convolution</t>
  </si>
  <si>
    <t xml:space="preserve">What a Nigerian bank's ICAAP Pillar 2 actually needs</t>
  </si>
  <si>
    <t xml:space="preserve">Combining internal loss data, external loss data, scenarios and BEICFs</t>
  </si>
  <si>
    <t xml:space="preserve">Internal loss data is strong; external and BEICFs absent</t>
  </si>
  <si>
    <t xml:space="preserve">Backtesting quantified estimates against realised losses</t>
  </si>
  <si>
    <t xml:space="preserve">What makes quantification credible to a regulator</t>
  </si>
  <si>
    <t xml:space="preserve">Capital calculation support (Basel SMA, Solvency II SCR)</t>
  </si>
  <si>
    <t xml:space="preserve">ICAAP model is correctly structured but Pillar 2A/2B are INPUT fields, not derived</t>
  </si>
  <si>
    <t xml:space="preserve">Central control library with configurable attributes</t>
  </si>
  <si>
    <t xml:space="preserve">control_type/nature/frequency/automation_level are free-form strings, no vocabulary</t>
  </si>
  <si>
    <t xml:space="preserve">Control classification (preventive/detective, manual/automated, key/non-key)</t>
  </si>
  <si>
    <t xml:space="preserve">is_key_control on the pivot; classification columns unconstrained</t>
  </si>
  <si>
    <t xml:space="preserve">Control-to-risk mapping, many-to-many, with stated mitigation effect</t>
  </si>
  <si>
    <t xml:space="preserve">risk_control_mapping with control_weight and is_key_control — better than most tools</t>
  </si>
  <si>
    <t xml:space="preserve">Control-to-obligation/framework mapping, multi-framework</t>
  </si>
  <si>
    <t xml:space="preserve">WP-20</t>
  </si>
  <si>
    <t xml:space="preserve">Common control model — one control satisfying N requirements, tested once</t>
  </si>
  <si>
    <t xml:space="preserve">WP-03, WP-20</t>
  </si>
  <si>
    <t xml:space="preserve">Requires typed relationships</t>
  </si>
  <si>
    <t xml:space="preserve">Separate design effectiveness and operating effectiveness</t>
  </si>
  <si>
    <t xml:space="preserve">control_tests.test_type includes both but effectiveness is one rating</t>
  </si>
  <si>
    <t xml:space="preserve">Control testing workflow with sampling, evidence, conclusion, reviewer sign-off</t>
  </si>
  <si>
    <t xml:space="preserve">4 test types, 4 results, full lifecycle, tester/reviewer separation, evidence upload</t>
  </si>
  <si>
    <t xml:space="preserve">Control deficiency evaluation with escalation to material weakness</t>
  </si>
  <si>
    <t xml:space="preserve">Control owner attestation/certification cycles</t>
  </si>
  <si>
    <t xml:space="preserve">WP-21</t>
  </si>
  <si>
    <t xml:space="preserve">Control test scripting/automation against source systems</t>
  </si>
  <si>
    <t xml:space="preserve">WP-25</t>
  </si>
  <si>
    <t xml:space="preserve">Continuous control monitoring with scheduled automated tests</t>
  </si>
  <si>
    <t xml:space="preserve">Corporater gap; Forrester says this is where the market is heading</t>
  </si>
  <si>
    <t xml:space="preserve">Full-population testing rather than sampling</t>
  </si>
  <si>
    <t xml:space="preserve">Exception auto-generation into the issue register with owner and SLA</t>
  </si>
  <si>
    <t xml:space="preserve">Control health score as a continuous time series feeding residual risk</t>
  </si>
  <si>
    <t xml:space="preserve">WP-04, WP-25</t>
  </si>
  <si>
    <t xml:space="preserve">Natural once controls are measures</t>
  </si>
  <si>
    <t xml:space="preserve">Automated evidence capture with immutable provenance and hash</t>
  </si>
  <si>
    <t xml:space="preserve">ITGC support and SOD analysis</t>
  </si>
  <si>
    <t xml:space="preserve">SOD ruleset management with conflict detection across ERP roles</t>
  </si>
  <si>
    <t xml:space="preserve">Control effectiveness dashboards by entity, process and framework</t>
  </si>
  <si>
    <t xml:space="preserve">testing-dashboard.blade.php is 4.7 KB</t>
  </si>
  <si>
    <t xml:space="preserve">Control rationalisation analytics (redundant, over-tested, unmitigating)</t>
  </si>
  <si>
    <t xml:space="preserve">Control coverage gap detection (risks above appetite with no effective control)</t>
  </si>
  <si>
    <t xml:space="preserve">High value, low effort once appetite is quantified</t>
  </si>
  <si>
    <t xml:space="preserve">Regulatory obligation register at requirement/clause level</t>
  </si>
  <si>
    <t xml:space="preserve">regulatory_circulars tracks documents, not obligations</t>
  </si>
  <si>
    <t xml:space="preserve">Obligation -&gt; policy -&gt; control -&gt; risk -&gt; process linkage chain</t>
  </si>
  <si>
    <t xml:space="preserve">The compliance spine</t>
  </si>
  <si>
    <t xml:space="preserve">Multi-framework support with cross-mapping</t>
  </si>
  <si>
    <t xml:space="preserve">regulatory_risk_mapping exists; no framework model</t>
  </si>
  <si>
    <t xml:space="preserve">Pre-built framework content library</t>
  </si>
  <si>
    <t xml:space="preserve">WP-17</t>
  </si>
  <si>
    <t xml:space="preserve">ISO/NIST/COSO/COBIT/PCI/SOC2/GDPR/DORA/NIS2/SOX</t>
  </si>
  <si>
    <t xml:space="preserve">Framework version management and migration mapping</t>
  </si>
  <si>
    <t xml:space="preserve">e.g. ISO 27001:2013 -&gt; 2022</t>
  </si>
  <si>
    <t xml:space="preserve">Compliance obligation ownership and periodic attestation</t>
  </si>
  <si>
    <t xml:space="preserve">WP-20, WP-21</t>
  </si>
  <si>
    <t xml:space="preserve">Compliance calendar with regulatory deadlines and filing tracking</t>
  </si>
  <si>
    <t xml:space="preserve">regulatory_deadlines + regulatory_filings; UI is minimal (1.8 KB calendar view)</t>
  </si>
  <si>
    <t xml:space="preserve">Regulatory change feed ingestion from external providers</t>
  </si>
  <si>
    <t xml:space="preserve">Jurisdiction/entity/product applicability filtering</t>
  </si>
  <si>
    <t xml:space="preserve">Critical for Nigerian holdcos with multiple licences</t>
  </si>
  <si>
    <t xml:space="preserve">AI regulatory change impact analysis — obligation-level diff</t>
  </si>
  <si>
    <t xml:space="preserve">ai/regulatory-pulse is mt_rand-backed</t>
  </si>
  <si>
    <t xml:space="preserve">Regulatory horizon scanning with a 'coming into force' pipeline</t>
  </si>
  <si>
    <t xml:space="preserve">Regulatory interaction/examination management</t>
  </si>
  <si>
    <t xml:space="preserve">issues.cbn_examination_finding exists; no examination object</t>
  </si>
  <si>
    <t xml:space="preserve">Regulatory reporting pack generation (ICAAP, ORSA, self-assessment)</t>
  </si>
  <si>
    <t xml:space="preserve">WP-12, WP-16</t>
  </si>
  <si>
    <t xml:space="preserve">ICAAP model exists; output is CSV</t>
  </si>
  <si>
    <t xml:space="preserve">DORA Register of Information generation</t>
  </si>
  <si>
    <t xml:space="preserve">WP-22</t>
  </si>
  <si>
    <t xml:space="preserve">EU-specific; low priority for Nigeria</t>
  </si>
  <si>
    <t xml:space="preserve">Conflicts of interest, gifts &amp; hospitality registers</t>
  </si>
  <si>
    <t xml:space="preserve">Whistleblowing / speak-up case management</t>
  </si>
  <si>
    <t xml:space="preserve">Conduct risk / individual accountability responsibility maps</t>
  </si>
  <si>
    <t xml:space="preserve">CBN org-structure model is the Nigerian equivalent</t>
  </si>
  <si>
    <t xml:space="preserve">AI control-to-framework auto-mapping with confidence scores</t>
  </si>
  <si>
    <t xml:space="preserve">Makes the standards packs compound</t>
  </si>
  <si>
    <t xml:space="preserve">Policy repository with version control and a single published version</t>
  </si>
  <si>
    <t xml:space="preserve">Module entirely absent</t>
  </si>
  <si>
    <t xml:space="preserve">Authoring, review, approval, publication and archival workflow</t>
  </si>
  <si>
    <t xml:space="preserve">Policy hierarchy — policy -&gt; standard -&gt; procedure -&gt; work instruction</t>
  </si>
  <si>
    <t xml:space="preserve">Attestation/acknowledgement campaigns with tracking and escalation</t>
  </si>
  <si>
    <t xml:space="preserve">Policy-to-obligation, policy-to-control and policy-to-risk mapping</t>
  </si>
  <si>
    <t xml:space="preserve">Scheduled review cycles with owner reminders and overdue escalation</t>
  </si>
  <si>
    <t xml:space="preserve">Targeted distribution by role, entity, geography or job family</t>
  </si>
  <si>
    <t xml:space="preserve">Exception/waiver workflow with expiry and compensating control</t>
  </si>
  <si>
    <t xml:space="preserve">Policy portal with search, readability and mobile access</t>
  </si>
  <si>
    <t xml:space="preserve">AI policy gap analysis and AI-drafted policy updates</t>
  </si>
  <si>
    <t xml:space="preserve">Audit universe with auditable entities and risk-based scoring</t>
  </si>
  <si>
    <t xml:space="preserve">Risk-based annual audit plan with resource and capacity planning</t>
  </si>
  <si>
    <t xml:space="preserve">Multi-year plan and coverage analysis against the risk register</t>
  </si>
  <si>
    <t xml:space="preserve">Engagement management — scope, objectives, budget, team, timeline</t>
  </si>
  <si>
    <t xml:space="preserve">Risk and control matrix (RACM) per engagement</t>
  </si>
  <si>
    <t xml:space="preserve">Electronic workpapers with cross-referencing and review notes</t>
  </si>
  <si>
    <t xml:space="preserve">Finding/observation management with rating, root cause, management response</t>
  </si>
  <si>
    <t xml:space="preserve">issues module covers findings but there is no audit engagement context</t>
  </si>
  <si>
    <t xml:space="preserve">Issue and action tracking to closure with validation testing</t>
  </si>
  <si>
    <t xml:space="preserve">Issues module is strong — reuse it rather than duplicating</t>
  </si>
  <si>
    <t xml:space="preserve">Audit report generation with configurable templates</t>
  </si>
  <si>
    <t xml:space="preserve">Time tracking, timesheets and auditor utilisation</t>
  </si>
  <si>
    <t xml:space="preserve">IIA Global Internal Audit Standards (2024) conformance tracking</t>
  </si>
  <si>
    <t xml:space="preserve">QAIP — internal and external quality assessment records</t>
  </si>
  <si>
    <t xml:space="preserve">IIA Topical Requirements support</t>
  </si>
  <si>
    <t xml:space="preserve">Audit committee reporting pack with plan status and issue ageing</t>
  </si>
  <si>
    <t xml:space="preserve">Board report exists but emits CSV</t>
  </si>
  <si>
    <t xml:space="preserve">Data analytics integration over full populations</t>
  </si>
  <si>
    <t xml:space="preserve">Combined assurance map across three lines plus external providers</t>
  </si>
  <si>
    <t xml:space="preserve">Continuous auditing with analytics between engagements</t>
  </si>
  <si>
    <t xml:space="preserve">AI-drafted audit programmes and AI-summarised findings</t>
  </si>
  <si>
    <t xml:space="preserve">Incident capture with configurable forms and multi-channel intake</t>
  </si>
  <si>
    <t xml:space="preserve">Web only today; USSD/WhatsApp is WP-14</t>
  </si>
  <si>
    <t xml:space="preserve">Incident triage, severity classification and routing</t>
  </si>
  <si>
    <t xml:space="preserve">event_severity, customer_impact_rating, staged approval</t>
  </si>
  <si>
    <t xml:space="preserve">Investigation workflow with root cause analysis</t>
  </si>
  <si>
    <t xml:space="preserve">loss_event_rca with 5-Whys, own approval, remediation actions</t>
  </si>
  <si>
    <t xml:space="preserve">Loss event data capture — gross loss, recoveries, net loss</t>
  </si>
  <si>
    <t xml:space="preserve">FIVE-WAY recovery decomposition + full insurance claim lifecycle</t>
  </si>
  <si>
    <t xml:space="preserve">Date of occurrence / discovery / accounting captured separately</t>
  </si>
  <si>
    <t xml:space="preserve">date_of_loss, date_discovered, date_reported</t>
  </si>
  <si>
    <t xml:space="preserve">Basel 7 Level-1 event types with full L2/L3 tree and 8 business lines</t>
  </si>
  <si>
    <t xml:space="preserve">basel_l1/l2/l3 columns exist; the seeded tree needs completing (WP-16)</t>
  </si>
  <si>
    <t xml:space="preserve">Boundary event handling, timing losses, rapidly recovered losses</t>
  </si>
  <si>
    <t xml:space="preserve">Required for Basel-grade loss data</t>
  </si>
  <si>
    <t xml:space="preserve">Near-miss and opportunity-cost capture flagged out of capital scope</t>
  </si>
  <si>
    <t xml:space="preserve">near_misses table with control gap, investigator, conversion path</t>
  </si>
  <si>
    <t xml:space="preserve">Grouped/related loss linkage as a single event</t>
  </si>
  <si>
    <t xml:space="preserve">Incident-to-risk, -to-control and -to-process linkage</t>
  </si>
  <si>
    <t xml:space="preserve">loss_event_controls with failure_type and failure_description</t>
  </si>
  <si>
    <t xml:space="preserve">Corrective and preventive action (CAPA) with owner, due date, verification</t>
  </si>
  <si>
    <t xml:space="preserve">rca_remediation_actions + issue_remediation_actions</t>
  </si>
  <si>
    <t xml:space="preserve">Central issue/action register aggregating from all sources</t>
  </si>
  <si>
    <t xml:space="preserve">issue_source tags the origin; no unified action register across modules</t>
  </si>
  <si>
    <t xml:space="preserve">Action ageing, overdue escalation and extension approval</t>
  </si>
  <si>
    <t xml:space="preserve">issue_escalation_rules is genuinely config-driven; no extension approval</t>
  </si>
  <si>
    <t xml:space="preserve">Loss data validation and reconciliation to the general ledger</t>
  </si>
  <si>
    <t xml:space="preserve">gl_account_code and cost_centre exist; no reconciliation process</t>
  </si>
  <si>
    <t xml:space="preserve">External loss data benchmarking (ORX, ORIC) with scaling</t>
  </si>
  <si>
    <t xml:space="preserve">WP-16, WP-29</t>
  </si>
  <si>
    <t xml:space="preserve">ai/benchmarking fabricates peer values with mt_rand(2,5)</t>
  </si>
  <si>
    <t xml:space="preserve">AI incident similarity detection, auto-classification and duplicate merge</t>
  </si>
  <si>
    <t xml:space="preserve">Vendor/third-party master with lifecycle states</t>
  </si>
  <si>
    <t xml:space="preserve">questionnaires.questionnaire_type has a 'vendor' value but no vendor entity exists</t>
  </si>
  <si>
    <t xml:space="preserve">Criticality tiering model with configurable scoring</t>
  </si>
  <si>
    <t xml:space="preserve">Onboarding due diligence workflow gated by tier</t>
  </si>
  <si>
    <t xml:space="preserve">Questionnaire library (SIG, CAIQ, custom) with vendor portal</t>
  </si>
  <si>
    <t xml:space="preserve">Evidence collection with certification expiry and auto-chasing</t>
  </si>
  <si>
    <t xml:space="preserve">Risk-tiered periodic reassessment scheduling</t>
  </si>
  <si>
    <t xml:space="preserve">Contract repository with key dates, renewal and termination tracking</t>
  </si>
  <si>
    <t xml:space="preserve">Contract clause and obligation extraction</t>
  </si>
  <si>
    <t xml:space="preserve">Sanctions, PEP and adverse media screening with ongoing monitoring</t>
  </si>
  <si>
    <t xml:space="preserve">Financial health monitoring with alerting</t>
  </si>
  <si>
    <t xml:space="preserve">Continuous external security rating feeds</t>
  </si>
  <si>
    <t xml:space="preserve">Concentration risk analysis by vendor, service, geography, cloud region</t>
  </si>
  <si>
    <t xml:space="preserve">ESG, modern slavery and human rights due diligence</t>
  </si>
  <si>
    <t xml:space="preserve">Structured offboarding with data return/deletion attestation</t>
  </si>
  <si>
    <t xml:space="preserve">Nth-party mapping with single-point-of-failure detection</t>
  </si>
  <si>
    <t xml:space="preserve">Supply chain graph visualisation linked to important business services</t>
  </si>
  <si>
    <t xml:space="preserve">SBOM ingestion with component-level vulnerability propagation</t>
  </si>
  <si>
    <t xml:space="preserve">Vendor-failure scenario simulation across the dependency graph</t>
  </si>
  <si>
    <t xml:space="preserve">Nigerian agent-network modelling (exclusivity, transaction limits, principal liability)</t>
  </si>
  <si>
    <t xml:space="preserve">Oct 2025 Agent Banking Guidelines; networks run to hundreds of thousands of points</t>
  </si>
  <si>
    <t xml:space="preserve">Important Business Service register with board-approved definitions</t>
  </si>
  <si>
    <t xml:space="preserve">WP-23</t>
  </si>
  <si>
    <t xml:space="preserve">Impact tolerance per IBS (time-based plus other metrics)</t>
  </si>
  <si>
    <t xml:space="preserve">Dependency mapping — people, premises, technology, information, third parties</t>
  </si>
  <si>
    <t xml:space="preserve">Business Impact Analysis with MTPD/MAO, RTO, RPO, MBCO</t>
  </si>
  <si>
    <t xml:space="preserve">Business continuity and disaster recovery plans with version control</t>
  </si>
  <si>
    <t xml:space="preserve">Crisis management team structure, call trees and escalation</t>
  </si>
  <si>
    <t xml:space="preserve">Exercise and test programme with results, lessons learned and actions</t>
  </si>
  <si>
    <t xml:space="preserve">Severe-but-plausible scenario testing against impact tolerance</t>
  </si>
  <si>
    <t xml:space="preserve">Vulnerability identification and remediation from testing</t>
  </si>
  <si>
    <t xml:space="preserve">Self-assessment document generation with board approval</t>
  </si>
  <si>
    <t xml:space="preserve">ISO 22301 clause-level conformance evidence</t>
  </si>
  <si>
    <t xml:space="preserve">DORA CIF mapping and ICT incident classification</t>
  </si>
  <si>
    <t xml:space="preserve">APRA CPS 230 critical operations and tolerance levels</t>
  </si>
  <si>
    <t xml:space="preserve">Live dependency map refreshed from CMDB and vendor registers</t>
  </si>
  <si>
    <t xml:space="preserve">Automated time-to-tolerance-breach computation</t>
  </si>
  <si>
    <t xml:space="preserve">Resilience posture score with continuous monitoring</t>
  </si>
  <si>
    <t xml:space="preserve">Power/diesel and connectivity modelled as first-class dependencies</t>
  </si>
  <si>
    <t xml:space="preserve">Nigeria's actual continuity risk; grid collapsed again in 2026, ~70% of businesses on generators</t>
  </si>
  <si>
    <t xml:space="preserve">ESG metric library with unit management and conversion factors</t>
  </si>
  <si>
    <t xml:space="preserve">WP-26</t>
  </si>
  <si>
    <t xml:space="preserve">Data collection workflow across entities with source evidence</t>
  </si>
  <si>
    <t xml:space="preserve">Double materiality assessment (impact and financial)</t>
  </si>
  <si>
    <t xml:space="preserve">CSRD/ESRS with datapoint tagging and phase-in reliefs</t>
  </si>
  <si>
    <t xml:space="preserve">XBRL/iXBRL digital tagging for ESRS</t>
  </si>
  <si>
    <t xml:space="preserve">ISSB IFRS S1/S2 with jurisdiction-specific modifications</t>
  </si>
  <si>
    <t xml:space="preserve">Nigeria FRC roadmap: mandatory for PIEs from 1 Jan 2028; ERM framework named as a Stage 3 artefact</t>
  </si>
  <si>
    <t xml:space="preserve">GRI, SASB, TCFD 11 disclosures, CDP</t>
  </si>
  <si>
    <t xml:space="preserve">GHG accounting — Scope 1, 2 and 3 (15 categories)</t>
  </si>
  <si>
    <t xml:space="preserve">EU Taxonomy eligibility, alignment, DNSH</t>
  </si>
  <si>
    <t xml:space="preserve">Climate scenario analysis linked to the ERM register</t>
  </si>
  <si>
    <t xml:space="preserve">Target setting and tracking (SBTi, net-zero pathways)</t>
  </si>
  <si>
    <t xml:space="preserve">Value-chain ESG data collection with assurance-grade provenance</t>
  </si>
  <si>
    <t xml:space="preserve">Nigeria's ISSA 5000 ladder reaches reasonable assurance by Year 7</t>
  </si>
  <si>
    <t xml:space="preserve">Strategic objective hierarchy cascading across the org graph</t>
  </si>
  <si>
    <t xml:space="preserve">WP-04, WP-27</t>
  </si>
  <si>
    <t xml:space="preserve">Strategy map visualisation (Balanced Scorecard)</t>
  </si>
  <si>
    <t xml:space="preserve">OKR support alongside BSC</t>
  </si>
  <si>
    <t xml:space="preserve">KPI library with owner, target, threshold bands and frequency</t>
  </si>
  <si>
    <t xml:space="preserve">KPI actuals capture — manual, upload and automated feed</t>
  </si>
  <si>
    <t xml:space="preserve">Unified KPI/KRI model on one period-aware measure engine</t>
  </si>
  <si>
    <t xml:space="preserve">KRI half exists; KPI half does not. This is Corporater's 'P' in GPRC and their stated differentiator.</t>
  </si>
  <si>
    <t xml:space="preserve">KPI forecasting, trend and variance analysis</t>
  </si>
  <si>
    <t xml:space="preserve">Risk-to-objective linkage — which objectives are at risk</t>
  </si>
  <si>
    <t xml:space="preserve">Initiative/project portfolio with Gantt, milestones and phase gates</t>
  </si>
  <si>
    <t xml:space="preserve">Budget/financial linkage to initiatives and treatment cost</t>
  </si>
  <si>
    <t xml:space="preserve">Risk-adjusted performance — probability of objective achievement</t>
  </si>
  <si>
    <t xml:space="preserve">Strategic scenario planning against the risk portfolio (COSO ERM P8)</t>
  </si>
  <si>
    <t xml:space="preserve">Role-based dashboards with drill-down to source object</t>
  </si>
  <si>
    <t xml:space="preserve">WP-08, WP-12</t>
  </si>
  <si>
    <t xml:space="preserve">One 48.6 KB fixed dashboard; no roles, no drill-down</t>
  </si>
  <si>
    <t xml:space="preserve">Context-bound widgets — one definition rendering per org node</t>
  </si>
  <si>
    <t xml:space="preserve">The single biggest demo differentiator</t>
  </si>
  <si>
    <t xml:space="preserve">Widget library — heat map, bubble, trend, gauge, table, treemap, network, Gantt</t>
  </si>
  <si>
    <t xml:space="preserve">Chart.js from CDN, server-fed, ~8 chart types, no interactivity</t>
  </si>
  <si>
    <t xml:space="preserve">User-configurable personal dashboards</t>
  </si>
  <si>
    <t xml:space="preserve">Report builder with templates, filters and parameters</t>
  </si>
  <si>
    <t xml:space="preserve">reports/custom exists; validates 4 formats and emits CSV for all of them</t>
  </si>
  <si>
    <t xml:space="preserve">Export to PDF, Word, Excel, PowerPoint</t>
  </si>
  <si>
    <t xml:space="preserve">NO PDF ANYWHERE. Board/regulatory/executive reports render as on-screen views only; generateCustom validates pdf,excel,html,pptx then collapses all four to CSV</t>
  </si>
  <si>
    <t xml:space="preserve">Scheduled report distribution by email with bursting</t>
  </si>
  <si>
    <t xml:space="preserve">Email is a logged placeholder (sendMailPlaceholder)</t>
  </si>
  <si>
    <t xml:space="preserve">Board pack generation — narrative plus visuals, versioned and approved</t>
  </si>
  <si>
    <t xml:space="preserve">Period-over-period comparison and movement analysis</t>
  </si>
  <si>
    <t xml:space="preserve">Ad-hoc query/pivot builder for end users</t>
  </si>
  <si>
    <t xml:space="preserve">BI tool integration with a governed semantic layer</t>
  </si>
  <si>
    <t xml:space="preserve">Natural-language query over the object graph with citations</t>
  </si>
  <si>
    <t xml:space="preserve">NL-to-dashboard generation</t>
  </si>
  <si>
    <t xml:space="preserve">AI-generated narrative commentary</t>
  </si>
  <si>
    <t xml:space="preserve">executive-narrative LLM endpoint exists but is not UI-wired</t>
  </si>
  <si>
    <t xml:space="preserve">Alerting engine — threshold, trend, anomaly, event-driven, multi-channel</t>
  </si>
  <si>
    <t xml:space="preserve">In-app + DB only; email/SMS/WhatsApp modelled in prefs but unimplemented</t>
  </si>
  <si>
    <t xml:space="preserve">Anomaly detection on KRIs with seasonality and leading-indicator discovery</t>
  </si>
  <si>
    <t xml:space="preserve">Computable once KRIs and loss events share the measure engine</t>
  </si>
  <si>
    <t xml:space="preserve">Embedded LLM assistant with organizational context</t>
  </si>
  <si>
    <t xml:space="preserve">WP-02, WP-28, WP-29</t>
  </si>
  <si>
    <t xml:space="preserve">LlmService is well-engineered (on-prem Ollama, caching, health check)</t>
  </si>
  <si>
    <t xml:space="preserve">Document ingestion -&gt; risk/obligation/control extraction with de-duplication</t>
  </si>
  <si>
    <t xml:space="preserve">Differentiator is de-duplication into the graph, not extraction</t>
  </si>
  <si>
    <t xml:space="preserve">AI control-to-framework mapping with confidence scoring</t>
  </si>
  <si>
    <t xml:space="preserve">AI regulatory change interpretation and impact analysis</t>
  </si>
  <si>
    <t xml:space="preserve">AI-drafted policies, risk statements, findings and reports in house style</t>
  </si>
  <si>
    <t xml:space="preserve">7 LLM endpoints exist; only Risk Statement Builder is UI-wired</t>
  </si>
  <si>
    <t xml:space="preserve">AI summarisation of long-form content</t>
  </si>
  <si>
    <t xml:space="preserve">Agentic workflows — evidence collector, chaser, triager, tester</t>
  </si>
  <si>
    <t xml:space="preserve">Agent governance — declared scope, approval thresholds, action log, kill switch</t>
  </si>
  <si>
    <t xml:space="preserve">'We govern our own agents with the machinery we sell you'</t>
  </si>
  <si>
    <t xml:space="preserve">AI-assisted RCSA with inconsistency and boilerplate detection</t>
  </si>
  <si>
    <t xml:space="preserve">Almost nobody does this well</t>
  </si>
  <si>
    <t xml:space="preserve">Emerging risk horizon scanning linked to internal objectives</t>
  </si>
  <si>
    <t xml:space="preserve">ai/radar is mt_rand-backed</t>
  </si>
  <si>
    <t xml:space="preserve">Predictive risk modelling — likelihood of loss, slippage, control failure</t>
  </si>
  <si>
    <t xml:space="preserve">FABRICATED: hardcoded [0.87,0.73,...] and accuracy 87.3 / auc 0.912 / model_version 2.4.1</t>
  </si>
  <si>
    <t xml:space="preserve">AI-assisted configuration</t>
  </si>
  <si>
    <t xml:space="preserve">Full AI traceability — sources, prompt, model, version</t>
  </si>
  <si>
    <t xml:space="preserve">Non-negotiable before any AI ships</t>
  </si>
  <si>
    <t xml:space="preserve">Human-in-the-loop approval gates on consequential AI actions</t>
  </si>
  <si>
    <t xml:space="preserve">AI output confidence scoring with routing to human review</t>
  </si>
  <si>
    <t xml:space="preserve">AI governance module — inventory, EU AI Act, ISO 42001, drift, model cards</t>
  </si>
  <si>
    <t xml:space="preserve">Fastest-growing greenfield in GRC; King V requires it explicitly</t>
  </si>
  <si>
    <t xml:space="preserve">Configurable AI — model choice, per-feature opt-out, data residency control</t>
  </si>
  <si>
    <t xml:space="preserve">Driver/model/endpoint configurable; no per-feature opt-out</t>
  </si>
  <si>
    <t xml:space="preserve">MCP server / agent-callable API</t>
  </si>
  <si>
    <t xml:space="preserve">REST API covering the full object model</t>
  </si>
  <si>
    <t xml:space="preserve">routes/api.php DOES NOT EXIST</t>
  </si>
  <si>
    <t xml:space="preserve">GraphQL API for graph traversal</t>
  </si>
  <si>
    <t xml:space="preserve">OpenAPI specification and interactive API docs</t>
  </si>
  <si>
    <t xml:space="preserve">API versioning with a published deprecation policy</t>
  </si>
  <si>
    <t xml:space="preserve">Webhooks / outbound event streaming</t>
  </si>
  <si>
    <t xml:space="preserve">domain_events outbox exists but has no outbound transport</t>
  </si>
  <si>
    <t xml:space="preserve">OAuth 2.0 / OIDC for API auth</t>
  </si>
  <si>
    <t xml:space="preserve">No Sanctum, no Passport</t>
  </si>
  <si>
    <t xml:space="preserve">SAML 2.0 / OIDC SSO and SCIM provisioning</t>
  </si>
  <si>
    <t xml:space="preserve">No SSO of any kind; single local password store</t>
  </si>
  <si>
    <t xml:space="preserve">Bulk import/export with validation, staging and rollback</t>
  </si>
  <si>
    <t xml:space="preserve">CSV insert-only; no dry-run, no rollback; xlsx silently mis-parsed</t>
  </si>
  <si>
    <t xml:space="preserve">Embedded ETL with scheduling, transformation, error handling</t>
  </si>
  <si>
    <t xml:space="preserve">Corporater's ETL Transformer is genuinely capable</t>
  </si>
  <si>
    <t xml:space="preserve">Pre-built connector library</t>
  </si>
  <si>
    <t xml:space="preserve">Corporater's real gap too — a window for us</t>
  </si>
  <si>
    <t xml:space="preserve">Regulatory and risk content feed integrations</t>
  </si>
  <si>
    <t xml:space="preserve">Email, Teams and Slack task completion without entering the platform</t>
  </si>
  <si>
    <t xml:space="preserve">High leverage for first-line adoption</t>
  </si>
  <si>
    <t xml:space="preserve">CDC / streaming ingestion for near-real-time control monitoring</t>
  </si>
  <si>
    <t xml:space="preserve">Data lineage and quality monitoring (BCBS 239)</t>
  </si>
  <si>
    <t xml:space="preserve">Semantic/metrics layer for consistent definitions</t>
  </si>
  <si>
    <t xml:space="preserve">The measure engine is this layer</t>
  </si>
  <si>
    <t xml:space="preserve">Sandbox environment with production-like data masking</t>
  </si>
  <si>
    <t xml:space="preserve">No-code field and form builder with conditional visibility</t>
  </si>
  <si>
    <t xml:space="preserve">WP-05, WP-08, WP-09, WP-13</t>
  </si>
  <si>
    <t xml:space="preserve">No-code object type builder</t>
  </si>
  <si>
    <t xml:space="preserve">No-code relationship builder</t>
  </si>
  <si>
    <t xml:space="preserve">BPMN 2.0 visual workflow designer with parallel, timers, escalation, SLA</t>
  </si>
  <si>
    <t xml:space="preserve">Linear JSON stages only; escalation_rules stored and never read; delegate/escalate/return logged but change nothing</t>
  </si>
  <si>
    <t xml:space="preserve">Out-of-office delegation and automatic reassignment</t>
  </si>
  <si>
    <t xml:space="preserve">No-code dashboard and widget builder</t>
  </si>
  <si>
    <t xml:space="preserve">Role-conditional page composition</t>
  </si>
  <si>
    <t xml:space="preserve">'My Responsibilities' personal work queue from ownership relationships</t>
  </si>
  <si>
    <t xml:space="preserve">THE highest-leverage adoption feature</t>
  </si>
  <si>
    <t xml:space="preserve">Org-node landing pages ('Business HQ') — navigate by entity, not module</t>
  </si>
  <si>
    <t xml:space="preserve">Inverts the navigation model; how executives actually think</t>
  </si>
  <si>
    <t xml:space="preserve">Lightweight first-line experience optimised for 60-second interactions</t>
  </si>
  <si>
    <t xml:space="preserve">Archer Engage exists because the main UI is too heavy for occasional users</t>
  </si>
  <si>
    <t xml:space="preserve">Native mobile / offline capture with photo and GPS</t>
  </si>
  <si>
    <t xml:space="preserve">In Nigeria this is also a connectivity and power requirement</t>
  </si>
  <si>
    <t xml:space="preserve">Global search across all object types with permission filtering</t>
  </si>
  <si>
    <t xml:space="preserve">Saved views, filters and personal favourites</t>
  </si>
  <si>
    <t xml:space="preserve">data-table component is 520 bytes; ~25 index views hand-roll filtering</t>
  </si>
  <si>
    <t xml:space="preserve">In-app guidance, tooltips and contextual help</t>
  </si>
  <si>
    <t xml:space="preserve">Risk maturity is the constraint — guidance matters more here than elsewhere</t>
  </si>
  <si>
    <t xml:space="preserve">WCAG 2.2 AA accessibility</t>
  </si>
  <si>
    <t xml:space="preserve">Full localisation including RTL and per-user language</t>
  </si>
  <si>
    <t xml:space="preserve">No lang/ directory; N symbol hardcoded in 28 views</t>
  </si>
  <si>
    <t xml:space="preserve">RBAC with granular object, field and record-level permissions</t>
  </si>
  <si>
    <t xml:space="preserve">WP-00, WP-05, WP-30</t>
  </si>
  <si>
    <t xml:space="preserve">46 permissions and 9 roles SEEDED; 0 routes use permission middleware; 9 @can across 5 of 142 views</t>
  </si>
  <si>
    <t xml:space="preserve">Attribute-based / relationship-derived access control</t>
  </si>
  <si>
    <t xml:space="preserve">Node-scoped authorization</t>
  </si>
  <si>
    <t xml:space="preserve">Segregation of duties enforcement within the platform</t>
  </si>
  <si>
    <t xml:space="preserve">Tester/reviewer separation enforced by Gates in control testing only</t>
  </si>
  <si>
    <t xml:space="preserve">Complete, tamper-evident audit log of all user and system actions</t>
  </si>
  <si>
    <t xml:space="preserve">risk_audit_trail exists but is mutable and the read path is broken</t>
  </si>
  <si>
    <t xml:space="preserve">MFA, session management and password/IdP policy enforcement</t>
  </si>
  <si>
    <t xml:space="preserve">EnsureMfaVerified exists, is NOT aliased and is on NO route</t>
  </si>
  <si>
    <t xml:space="preserve">Encryption in transit and at rest; documented key management</t>
  </si>
  <si>
    <t xml:space="preserve">Customer-managed encryption keys (BYOK)</t>
  </si>
  <si>
    <t xml:space="preserve">Data residency options by region</t>
  </si>
  <si>
    <t xml:space="preserve">CBN localisation deadline: 1 January 2027</t>
  </si>
  <si>
    <t xml:space="preserve">SOC 2 Type II / ISO 27001 certification; pen test reports</t>
  </si>
  <si>
    <t xml:space="preserve">Application security verification and secure SDLC evidence</t>
  </si>
  <si>
    <t xml:space="preserve">Corporater is VL5 Veracode Verified</t>
  </si>
  <si>
    <t xml:space="preserve">Documented RTO/RPO, DR testing, backup/restore procedures</t>
  </si>
  <si>
    <t xml:space="preserve">Corporater publishes a 24-hour RTO</t>
  </si>
  <si>
    <t xml:space="preserve">Configurable retention, legal hold and defensible deletion</t>
  </si>
  <si>
    <t xml:space="preserve">NDPA requirement</t>
  </si>
  <si>
    <t xml:space="preserve">GDPR/NDPA support — DSAR handling, ROPA, data minimisation</t>
  </si>
  <si>
    <t xml:space="preserve">NDPA 2023 + GAID 2025 — a wedge product for the public sector</t>
  </si>
  <si>
    <t xml:space="preserve">Admin console with usage analytics and adoption metrics</t>
  </si>
  <si>
    <t xml:space="preserve">Adoption metrics predict renewal</t>
  </si>
  <si>
    <t xml:space="preserve">Configuration change audit with rollback</t>
  </si>
  <si>
    <t xml:space="preserve">Environment promotion pipeline with automated configuration testing</t>
  </si>
  <si>
    <t xml:space="preserve">SaaS multi-tenant delivery</t>
  </si>
  <si>
    <t xml:space="preserve">WP-16, WP-30</t>
  </si>
  <si>
    <t xml:space="preserve">Tenancy exists in the schema but is not enforced</t>
  </si>
  <si>
    <t xml:space="preserve">Deployment choice — SaaS, private cloud, on-premise</t>
  </si>
  <si>
    <t xml:space="preserve">Claimed; undermined by CDN asset loading. CBN deadline 1 Jan 2027</t>
  </si>
  <si>
    <t xml:space="preserve">Documented, predictable upgrade path with no config loss</t>
  </si>
  <si>
    <t xml:space="preserve">Accelerator / starter content packs for rapid time-to-value</t>
  </si>
  <si>
    <t xml:space="preserve">THE number-one reason global tools get bought and abandoned here</t>
  </si>
  <si>
    <t xml:space="preserve">Fixed-price implementation option</t>
  </si>
  <si>
    <t xml:space="preserve">LogicManager's differentiator</t>
  </si>
  <si>
    <t xml:space="preserve">Published, transparent pricing including AI feature pricing</t>
  </si>
  <si>
    <t xml:space="preserve">Naira, flat or entity-tiered, NEVER per-seat</t>
  </si>
  <si>
    <t xml:space="preserve">Customer success, training and certification programme</t>
  </si>
  <si>
    <t xml:space="preserve">Risk maturity is the constraint, not features</t>
  </si>
  <si>
    <t xml:space="preserve">Public product documentation, API reference and developer portal</t>
  </si>
  <si>
    <t xml:space="preserve">Corporater's own weakness — a window</t>
  </si>
  <si>
    <t xml:space="preserve">Active user community and partner ecosystem</t>
  </si>
  <si>
    <t xml:space="preserve">Partner with Big Four and local risk advisory rather than compete</t>
  </si>
  <si>
    <t xml:space="preserve">Configuration marketplace for community-built packs</t>
  </si>
  <si>
    <t xml:space="preserve">Four-strategy risk response including risk SHARING as distinct from transfer</t>
  </si>
  <si>
    <t xml:space="preserve">treatment_plans.strategy is a free string (avoid/mitigate/transfer/accept). Sharing — JV, consortium, co-insurance, syndication — is a distinct response with its own counterparty and residual profile</t>
  </si>
  <si>
    <t xml:space="preserve">One register spanning operational to strategic risk with type-specific attributes</t>
  </si>
  <si>
    <t xml:space="preserve">risk_level enum exists (granular/intermediate/enterprise) but strategic risks carry no distinct attributes, horizon or objective linkage</t>
  </si>
  <si>
    <t xml:space="preserve">Treasury / ALM assessment perspective (IRRBB, liquidity, FX, counterparty)</t>
  </si>
  <si>
    <t xml:space="preserve">WP-11, WP-16</t>
  </si>
  <si>
    <t xml:space="preserve">Named explicitly by Corporater. Direct CBN relevance — IRRBB is a Pillar 2 risk type in the ICAAP model we already have</t>
  </si>
  <si>
    <t xml:space="preserve">Project and portfolio as first-class risk-bearing nodes</t>
  </si>
  <si>
    <t xml:space="preserve">WP-03, WP-27</t>
  </si>
  <si>
    <t xml:space="preserve">Corporater tracks treatments and controls across projects and portfolios, not only org units</t>
  </si>
  <si>
    <t xml:space="preserve">KRI tolerance managed in the context of strategic objectives</t>
  </si>
  <si>
    <t xml:space="preserve">WP-27</t>
  </si>
  <si>
    <t xml:space="preserve">Requires an objectives model; distinct from risk-to-objective linkage</t>
  </si>
  <si>
    <t xml:space="preserve">Reporting governance object — responsibility, periodicity, threshold, format per report</t>
  </si>
  <si>
    <t xml:space="preserve">WP-12</t>
  </si>
  <si>
    <t xml:space="preserve">Corporater frames standardised reporting as a governed process, not a template library. This is what an examiner asks to see</t>
  </si>
  <si>
    <t xml:space="preserve">Risk-function resource adequacy evidence (people and technology)</t>
  </si>
  <si>
    <t xml:space="preserve">Corporater names it as a compliance-demonstration benefit. Regulators ask at examination; essentially nobody models it</t>
  </si>
  <si>
    <t xml:space="preserve">Single-platform extension to compliance, incident, performance and internal audit</t>
  </si>
  <si>
    <t xml:space="preserve">The integrated-GRC promise. Only achievable on the object graph — the architecture bet restated as a customer benefit</t>
  </si>
  <si>
    <t xml:space="preserve">Offline-first architecture with deterministic conflict resolution</t>
  </si>
  <si>
    <t xml:space="preserve">WP-13</t>
  </si>
  <si>
    <t xml:space="preserve">~190m mobile subs vs ~110m broadband; branch staff on metered 2G/3G they pay for</t>
  </si>
  <si>
    <t xml:space="preserve">PWA, installable, low-bandwidth (&lt;200 KB initial, &lt;3 s FMP at 2G)</t>
  </si>
  <si>
    <t xml:space="preserve">Autosave and power-cut resilience on every form</t>
  </si>
  <si>
    <t xml:space="preserve">Grid collapsed again in 2026; ~70% of businesses on generators</t>
  </si>
  <si>
    <t xml:space="preserve">USSD front-line capture</t>
  </si>
  <si>
    <t xml:space="preserve">WP-14</t>
  </si>
  <si>
    <t xml:space="preserve">Works without data or a smartphone. NO global vendor does this</t>
  </si>
  <si>
    <t xml:space="preserve">WhatsApp front-line capture with media</t>
  </si>
  <si>
    <t xml:space="preserve">WhatsApp banking launching actively in Nigeria</t>
  </si>
  <si>
    <t xml:space="preserve">Local-language intake flows (Hausa, Yoruba, Pidgin)</t>
  </si>
  <si>
    <t xml:space="preserve">Belongs on the intake layer, not the platform UI</t>
  </si>
  <si>
    <t xml:space="preserve">Naira-native multi-currency with CBN official / NAFEM / parallel rate types</t>
  </si>
  <si>
    <t xml:space="preserve">WP-15</t>
  </si>
  <si>
    <t xml:space="preserve">Inflation-indexed threshold formulas with re-baselining approval</t>
  </si>
  <si>
    <t xml:space="preserve">Fixes the 'everything is High' drift; inflation 15.91% June 2026</t>
  </si>
  <si>
    <t xml:space="preserve">Rating drift report at re-baselining</t>
  </si>
  <si>
    <t xml:space="preserve">The annual conversation a Nigerian CRO needs with the board</t>
  </si>
  <si>
    <t xml:space="preserve">Nigeria-resident deployment tier with residency attestation</t>
  </si>
  <si>
    <t xml:space="preserve">WP-30</t>
  </si>
  <si>
    <t xml:space="preserve">CBN PSS/DIR/PUB/CIR/001/004: all payment data in Nigeria by 1 Jan 2027</t>
  </si>
  <si>
    <t xml:space="preserve">Naira pricing, locally invoiced, flat or entity-tiered (never per-seat)</t>
  </si>
  <si>
    <t xml:space="preserve">Per-seat pricing structurally kills front-line capture</t>
  </si>
  <si>
    <t xml:space="preserve">CBN prudential obligation library and returns calendar</t>
  </si>
  <si>
    <t xml:space="preserve">RegulatoryThresholdService encodes real citations and clocks — a genuine head start</t>
  </si>
  <si>
    <t xml:space="preserve">ICAAP as a first-class object with April deadline workflow</t>
  </si>
  <si>
    <t xml:space="preserve">icaap_assessments is correctly structured; Pillar 2 values are inputs, not derived</t>
  </si>
  <si>
    <t xml:space="preserve">CBN cyber returns calendar (24h BSD, 28 Feb CSAT, monthly CTI by the 5th)</t>
  </si>
  <si>
    <t xml:space="preserve">CBN-mandated org structure modelled (CISO-&gt;MD/CEO, ISSC, Board Risk/Audit)</t>
  </si>
  <si>
    <t xml:space="preserve">NFIU STR/CTR clocks and thresholds</t>
  </si>
  <si>
    <t xml:space="preserve">24-hour NFIU clock and thresholds already encoded</t>
  </si>
  <si>
    <t xml:space="preserve">NDPA 2023 + GAID 2025 module (72h breach, DPIA, CAR, DPO CPD, ROPA)</t>
  </si>
  <si>
    <t xml:space="preserve">issues.ndpa_reportable exists; no module. SGF Circular 59805 = hundreds of MDA buyers</t>
  </si>
  <si>
    <t xml:space="preserve">NAICOM risk-based capital / ORSA-equivalent</t>
  </si>
  <si>
    <t xml:space="preserve">~43 insurers recapitalised 31 Jul 2026; NO INCUMBENT SOFTWARE</t>
  </si>
  <si>
    <t xml:space="preserve">PenCom monthly high-risk extract (7 days post month-end)</t>
  </si>
  <si>
    <t xml:space="preserve">That specific cadence is a product feature, not a config option</t>
  </si>
  <si>
    <t xml:space="preserve">FRC IFRS S1/S2 three-stage readiness workflow</t>
  </si>
  <si>
    <t xml:space="preserve">Mandatory for PIEs from 1 Jan 2028; nobody else has built this</t>
  </si>
  <si>
    <t xml:space="preserve">Host-community / HCDT 3% opex module for extractives</t>
  </si>
  <si>
    <t xml:space="preserve">No global product models a Nigerian host community trust</t>
  </si>
  <si>
    <t xml:space="preserve">Nigerian risk taxonomy (insecurity, diesel, FX repatriation, agents, cash-in-transit)</t>
  </si>
  <si>
    <t xml:space="preserve">No global ERM taxonomy models these</t>
  </si>
  <si>
    <t xml:space="preserve">Multi-entity, multi-licence, multi-regulator group modelling</t>
  </si>
  <si>
    <t xml:space="preserve">WP-03, WP-16</t>
  </si>
  <si>
    <t xml:space="preserve">A Nigerian holdco faces CBN, SEC, NAICOM, PenCom, NDPC concurrently</t>
  </si>
  <si>
    <t xml:space="preserve">Country packs — Ghana (BoG), Kenya (CBK), South Africa (King V, PA, POPIA)</t>
  </si>
  <si>
    <t xml:space="preserve">King V disclosure statements per RECOMMENDED PRACTICE, not just principle</t>
  </si>
  <si>
    <t xml:space="preserve">Corporater ERM — published feature list, scored</t>
  </si>
  <si>
    <t xml:space="preserve">The 45+ features Corporater publishes for its Enterprise Risk Management solution. This is the Phase 2 parity target.</t>
  </si>
  <si>
    <t xml:space="preserve">Corporater feature</t>
  </si>
  <si>
    <t xml:space="preserve">Our current state</t>
  </si>
  <si>
    <t xml:space="preserve">Note</t>
  </si>
  <si>
    <t xml:space="preserve">Access control / permissions</t>
  </si>
  <si>
    <t xml:space="preserve">Seeded but unenforced — 0 of 203 routes guarded</t>
  </si>
  <si>
    <t xml:space="preserve">Alerts and notifications</t>
  </si>
  <si>
    <t xml:space="preserve">In-app + DB only; email is a logged placeholder</t>
  </si>
  <si>
    <t xml:space="preserve">Alignment with strategic initiatives, objectives and performance goals</t>
  </si>
  <si>
    <t xml:space="preserve">No objectives model — the 'P' in Corporater's GPRC</t>
  </si>
  <si>
    <t xml:space="preserve">Audit log</t>
  </si>
  <si>
    <t xml:space="preserve">WP-00, WP-01</t>
  </si>
  <si>
    <t xml:space="preserve">Exists, mutable, and the read path is broken</t>
  </si>
  <si>
    <t xml:space="preserve">Automated risk reporting</t>
  </si>
  <si>
    <t xml:space="preserve">On-screen views only; CSV the sole file output; no PDF, no scheduling</t>
  </si>
  <si>
    <t xml:space="preserve">Automated workflows</t>
  </si>
  <si>
    <t xml:space="preserve">WP-06</t>
  </si>
  <si>
    <t xml:space="preserve">Linear stages; escalation stored and never read</t>
  </si>
  <si>
    <t xml:space="preserve">Business continuity planning</t>
  </si>
  <si>
    <t xml:space="preserve">Control activities</t>
  </si>
  <si>
    <t xml:space="preserve">Control library + testing is genuinely strong</t>
  </si>
  <si>
    <t xml:space="preserve">Customisable branding</t>
  </si>
  <si>
    <t xml:space="preserve">Brand colours inline in the layout</t>
  </si>
  <si>
    <t xml:space="preserve">Data integration (automated and manual)</t>
  </si>
  <si>
    <t xml:space="preserve">Manual CSV only; no connectors</t>
  </si>
  <si>
    <t xml:space="preserve">Data visualisation</t>
  </si>
  <si>
    <t xml:space="preserve">Chart.js from CDN, server-fed, no interactivity</t>
  </si>
  <si>
    <t xml:space="preserve">Digital twin configuration</t>
  </si>
  <si>
    <t xml:space="preserve">entities/entity_types is embryonic; parallel to business_units</t>
  </si>
  <si>
    <t xml:space="preserve">Document management</t>
  </si>
  <si>
    <t xml:space="preserve">Read-only aggregator view</t>
  </si>
  <si>
    <t xml:space="preserve">Integrated governance/assurance (AML, Basel &amp; Solvency, InfoSec &amp; Privacy)</t>
  </si>
  <si>
    <t xml:space="preserve">WP-16, WP-17</t>
  </si>
  <si>
    <t xml:space="preserve">AML and Basel present; Solvency and privacy absent</t>
  </si>
  <si>
    <t xml:space="preserve">Improvement database</t>
  </si>
  <si>
    <t xml:space="preserve">Issues + treatments + RCA actions cover this</t>
  </si>
  <si>
    <t xml:space="preserve">Incident management incl. loss/near-loss events</t>
  </si>
  <si>
    <t xml:space="preserve">BEST-IN-CLASS. Exceeds Corporater.</t>
  </si>
  <si>
    <t xml:space="preserve">Integration with underlying risks and information systems</t>
  </si>
  <si>
    <t xml:space="preserve">No API, no connectors</t>
  </si>
  <si>
    <t xml:space="preserve">Intuitive user interface</t>
  </si>
  <si>
    <t xml:space="preserve">Server-rendered Blade; no inline edit, no bulk actions, no saved views</t>
  </si>
  <si>
    <t xml:space="preserve">KRI catalog</t>
  </si>
  <si>
    <t xml:space="preserve">Strong definitions; no breach register</t>
  </si>
  <si>
    <t xml:space="preserve">KRIs, KPIs and other metrics</t>
  </si>
  <si>
    <t xml:space="preserve">KRI half only; unify under the measure engine</t>
  </si>
  <si>
    <t xml:space="preserve">Operational risk governance per compliance standards and taxonomies</t>
  </si>
  <si>
    <t xml:space="preserve">Basel + CBN ORMS dual taxonomy is a real strength</t>
  </si>
  <si>
    <t xml:space="preserve">Opportunity AND consequence heat maps</t>
  </si>
  <si>
    <t xml:space="preserve">WP-10, WP-08</t>
  </si>
  <si>
    <t xml:space="preserve">Consequence only; NO opportunity model at all</t>
  </si>
  <si>
    <t xml:space="preserve">Policy management for operational risk policies</t>
  </si>
  <si>
    <t xml:space="preserve">RegTech connectors</t>
  </si>
  <si>
    <t xml:space="preserve">Risk analysis (scenario, correlation, sensitivity)</t>
  </si>
  <si>
    <t xml:space="preserve">WP-18, WP-19</t>
  </si>
  <si>
    <t xml:space="preserve">Correlation column exists with no implementation; no sensitivity</t>
  </si>
  <si>
    <t xml:space="preserve">Risk analysis templates</t>
  </si>
  <si>
    <t xml:space="preserve">Ship as content packs</t>
  </si>
  <si>
    <t xml:space="preserve">Risk appetite</t>
  </si>
  <si>
    <t xml:space="preserve">Category-level only; service reads 5 non-existent columns</t>
  </si>
  <si>
    <t xml:space="preserve">Risk assessment perspectives (asset, process, external, operational scenario, legal, treasury)</t>
  </si>
  <si>
    <t xml:space="preserve">WP-03, WP-10</t>
  </si>
  <si>
    <t xml:space="preserve">Assessment contexts with their own ID series and their own ID prefixes (AML-027, BSL2-01, SOD019) — see the screenshots. Treasury/ALM is the one perspective with direct CBN relevance we had not scoped.</t>
  </si>
  <si>
    <t xml:space="preserve">Risk assessments, internal and external, qualitative and quantitative</t>
  </si>
  <si>
    <t xml:space="preserve">Qualitative strong; quantitative exists but is separate</t>
  </si>
  <si>
    <t xml:space="preserve">Risk-bearing capability</t>
  </si>
  <si>
    <t xml:space="preserve">WP-10, WP-19</t>
  </si>
  <si>
    <t xml:space="preserve">ICAAP capital model exists; not expressed as appetite capacity</t>
  </si>
  <si>
    <t xml:space="preserve">Risk consolidation and aggregation from internal and external sources</t>
  </si>
  <si>
    <t xml:space="preserve">Internal roll-up only</t>
  </si>
  <si>
    <t xml:space="preserve">Risk context</t>
  </si>
  <si>
    <t xml:space="preserve">ISO 31000 scope/context/criteria not modelled</t>
  </si>
  <si>
    <t xml:space="preserve">Risk Control Self-Assessment (RCSA)</t>
  </si>
  <si>
    <t xml:space="preserve">storeWorksheet() IS A STUB — submissions discarded</t>
  </si>
  <si>
    <t xml:space="preserve">Risk dashboards</t>
  </si>
  <si>
    <t xml:space="preserve">ONE fixed 48.6 KB dashboard</t>
  </si>
  <si>
    <t xml:space="preserve">Risk data upload via integration and manual input</t>
  </si>
  <si>
    <t xml:space="preserve">CSV insert-only; xlsx silently mis-parsed</t>
  </si>
  <si>
    <t xml:space="preserve">Risk evaluation</t>
  </si>
  <si>
    <t xml:space="preserve">Hardcoded 5x5 and rating bands</t>
  </si>
  <si>
    <t xml:space="preserve">Risk framework support (ISO 31000, COSO, ISO 27005)</t>
  </si>
  <si>
    <t xml:space="preserve">No framework model at all</t>
  </si>
  <si>
    <t xml:space="preserve">Risk heat maps</t>
  </si>
  <si>
    <t xml:space="preserve">Hardcoded 5x5, no cell counts, no drill-through</t>
  </si>
  <si>
    <t xml:space="preserve">Risk identification (manual and bulk import) based on taxonomy</t>
  </si>
  <si>
    <t xml:space="preserve">Risk mitigation workflows</t>
  </si>
  <si>
    <t xml:space="preserve">Treatment lifecycle is complete; 19 duplicate columns</t>
  </si>
  <si>
    <t xml:space="preserve">Risk modeling</t>
  </si>
  <si>
    <t xml:space="preserve">Risk monitoring</t>
  </si>
  <si>
    <t xml:space="preserve">Risk probability distribution and simulation incl. Monte Carlo</t>
  </si>
  <si>
    <t xml:space="preserve">Poisson-Lognormal only; runs synchronously in the HTTP request</t>
  </si>
  <si>
    <t xml:space="preserve">Risk radar</t>
  </si>
  <si>
    <t xml:space="preserve">WP-02</t>
  </si>
  <si>
    <t xml:space="preserve">mt_rand-generated. REMOVE IMMEDIATELY.</t>
  </si>
  <si>
    <t xml:space="preserve">Risk register</t>
  </si>
  <si>
    <t xml:space="preserve">Risk reporting</t>
  </si>
  <si>
    <t xml:space="preserve">CSV only</t>
  </si>
  <si>
    <t xml:space="preserve">Risk response</t>
  </si>
  <si>
    <t xml:space="preserve">Risk taxonomies</t>
  </si>
  <si>
    <t xml:space="preserve">One taxonomy in use; a second is orphaned; no multi-taxonomy</t>
  </si>
  <si>
    <t xml:space="preserve">Risk treatment</t>
  </si>
  <si>
    <t xml:space="preserve">SSO</t>
  </si>
  <si>
    <t xml:space="preserve">None of any kind</t>
  </si>
  <si>
    <t xml:space="preserve">Strategic risk management</t>
  </si>
  <si>
    <t xml:space="preserve">Surveys</t>
  </si>
  <si>
    <t xml:space="preserve">Schema ahead of market; UI is 915 bytes</t>
  </si>
  <si>
    <t xml:space="preserve">Third-party risk management</t>
  </si>
  <si>
    <t xml:space="preserve">Version control</t>
  </si>
  <si>
    <t xml:space="preserve">Field-level audit only; no entity versioning or point-in-time</t>
  </si>
  <si>
    <t xml:space="preserve">Link risks to assurance frameworks across the three lines of defense</t>
  </si>
  <si>
    <t xml:space="preserve">Benefits prose. Assurance mapping with coverage and gap view.</t>
  </si>
  <si>
    <t xml:space="preserve">Correlate risk profile, impact and RISK MATURITY with performance and objectives</t>
  </si>
  <si>
    <t xml:space="preserve">WP-11, WP-27</t>
  </si>
  <si>
    <t xml:space="preserve">Benefits prose. Risk maturity is a scored, trended assessment, not a label.</t>
  </si>
  <si>
    <t xml:space="preserve">Track treatments and controls across PROJECTS and PORTFOLIOS, not just org units</t>
  </si>
  <si>
    <t xml:space="preserve">Benefits prose. Project and Portfolio must be first-class risk-bearing node types.</t>
  </si>
  <si>
    <t xml:space="preserve">Four risk responses: avoidance, reduction, SHARING, transfer</t>
  </si>
  <si>
    <t xml:space="preserve">Benefits prose. We have avoid/mitigate/transfer/accept as a free string. 'Sharing' (joint venture, consortium, co-insurance) is distinct from transfer and unmodelled.</t>
  </si>
  <si>
    <t xml:space="preserve">Automated aggregation of risks UP THE CHAIN</t>
  </si>
  <si>
    <t xml:space="preserve">WP-03, WP-04</t>
  </si>
  <si>
    <t xml:space="preserve">Benefits prose. Risk::calculateRollUpScore() is risk-specific; graph-derived roll-up is not.</t>
  </si>
  <si>
    <t xml:space="preserve">One shared dynamic register spanning OPERATIONAL to STRATEGIC risk</t>
  </si>
  <si>
    <t xml:space="preserve">Benefits prose. risk_level enum exists (granular/intermediate/enterprise) but strategic risk carries no distinct attributes.</t>
  </si>
  <si>
    <t xml:space="preserve">KRIs managed against tolerance IN THE CONTEXT OF strategic objectives</t>
  </si>
  <si>
    <t xml:space="preserve">Benefits prose. Requires an objectives model; KRI-to-objective is distinct from risk-to-objective.</t>
  </si>
  <si>
    <t xml:space="preserve">Standardised reporting process: responsibilities, periodicity, thresholds, formats</t>
  </si>
  <si>
    <t xml:space="preserve">Benefits prose. A reporting-governance object, not just a report template.</t>
  </si>
  <si>
    <t xml:space="preserve">Evidence of sufficient resources (people and technology) for proactive risk management</t>
  </si>
  <si>
    <t xml:space="preserve">Benefits prose. Regulators ask this at examination; nobody models it.</t>
  </si>
  <si>
    <t xml:space="preserve">Extendable to compliance, incident, performance and internal audit in ONE system</t>
  </si>
  <si>
    <t xml:space="preserve">The integrated-GRC promise. Only achievable on the object graph — this is the architecture bet stated as a customer benefit.</t>
  </si>
  <si>
    <t xml:space="preserve">Total features</t>
  </si>
  <si>
    <t xml:space="preserve">Strong or Present</t>
  </si>
  <si>
    <t xml:space="preserve">Absent or Mock</t>
  </si>
  <si>
    <t xml:space="preserve">Weighted parity</t>
  </si>
  <si>
    <t xml:space="preserve">P0 and P1 backlog — the critical path</t>
  </si>
  <si>
    <t xml:space="preserve">P0 = blocker (unsellable/unsafe until fixed).  P1 = required for Corporater parity.  Sorted P0 first, then by work package.</t>
  </si>
  <si>
    <t xml:space="preserve">Legend and method</t>
  </si>
  <si>
    <t xml:space="preserve">CURRENT STATE</t>
  </si>
  <si>
    <t xml:space="preserve">Weight in the weighted-coverage score</t>
  </si>
  <si>
    <t xml:space="preserve">Best-in-class; exceeds or matches the benchmark</t>
  </si>
  <si>
    <t xml:space="preserve">1.00</t>
  </si>
  <si>
    <t xml:space="preserve">Implemented and usable; may need uplift</t>
  </si>
  <si>
    <t xml:space="preserve">0.85</t>
  </si>
  <si>
    <t xml:space="preserve">Partially implemented, or schema exists without UI/behaviour</t>
  </si>
  <si>
    <t xml:space="preserve">0.40</t>
  </si>
  <si>
    <t xml:space="preserve">Renders but the numbers are fabricated (mt_rand) — worse than absent</t>
  </si>
  <si>
    <t xml:space="preserve">0.05</t>
  </si>
  <si>
    <t xml:space="preserve">Not implemented</t>
  </si>
  <si>
    <t xml:space="preserve">0.00</t>
  </si>
  <si>
    <t xml:space="preserve">CLASS</t>
  </si>
  <si>
    <t xml:space="preserve">Table stakes — absence disqualifies you from an evaluation</t>
  </si>
  <si>
    <t xml:space="preserve">Differentiator — separates good products from average ones</t>
  </si>
  <si>
    <t xml:space="preserve">PRIORITY</t>
  </si>
  <si>
    <t xml:space="preserve">Phase</t>
  </si>
  <si>
    <t xml:space="preserve">Blocker — unsellable or unsafe until fixed</t>
  </si>
  <si>
    <t xml:space="preserve">Phase 0 (weeks 1-4)</t>
  </si>
  <si>
    <t xml:space="preserve">Parity — required to match Corporater</t>
  </si>
  <si>
    <t xml:space="preserve">Phases 1-2 (weeks 5-24)</t>
  </si>
  <si>
    <t xml:space="preserve">Moat — where we win against every competitor</t>
  </si>
  <si>
    <t xml:space="preserve">Phases 3-4 (weeks 21-44)</t>
  </si>
  <si>
    <t xml:space="preserve">Beyond — valuable but deferrable</t>
  </si>
  <si>
    <t xml:space="preserve">Later</t>
  </si>
  <si>
    <t xml:space="preserve">CORPORATER</t>
  </si>
  <si>
    <t xml:space="preserve">Published in their solution feature list, brief or screenshots</t>
  </si>
  <si>
    <t xml:space="preserve">Claimed but not evidenced in depth</t>
  </si>
  <si>
    <t xml:space="preserve">Not offered</t>
  </si>
  <si>
    <t xml:space="preserve">Not evidenced publicly either way</t>
  </si>
  <si>
    <t xml:space="preserve">SOURCES</t>
  </si>
  <si>
    <t xml:space="preserve">Codebase</t>
  </si>
  <si>
    <t xml:space="preserve">Full read of all 60 migrations, routes/web.php, composer.json, bootstrap, config, 4 middleware, 20 models, 10 of 14 services, seeders, and targeted controller method bodies, plus an independent adversarial verification pass over 42 specific factual claims.</t>
  </si>
  <si>
    <t xml:space="preserve">corporater.com/solution/enterprise-risk-management-software, the 4-page Enterprise Risk Management Solution Brief, and 12 product screenshots.</t>
  </si>
  <si>
    <t xml:space="preserve">Benchmark</t>
  </si>
  <si>
    <t xml:space="preserve">Riskonnect, MetricStream, Archer, IBM OpenPages, ServiceNow IRM, LogicManager, SAI360, Diligent, Resolver, Protecht, Camms, Origami, Workiva; Verdantix Green Quadrant GRC 2025, Gartner MQ GRC Tools 2025.</t>
  </si>
  <si>
    <t xml:space="preserve">Standards</t>
  </si>
  <si>
    <t xml:space="preserve">ISO 31000:2018, COSO ERM 2017, COSO IC 2013, ISO 27001:2022, ISO 27005, ISO 22301, ISO 37301, ISO 42001, NIST CSF 2.0, Basel II/III operational risk, Solvency II, IFRS S1/S2, TCFD, DORA, FAIR, IIA Three Lines 2020.</t>
  </si>
  <si>
    <t xml:space="preserve">Nigeria / Africa</t>
  </si>
  <si>
    <t xml:space="preserve">CBN circulars and guidelines, NDIC, SEC Nigeria, NAICOM, PenCom, NCC, NUPRC/NMDPRA, NERC, FRC, NDPA 2023 + GAID 2025, NITDA National Cloud Policy 2025, Bank of Ghana, CBK Kenya, King V South Africa, POPIA.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</si>
</sst>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65D"/>
      <name val="Arial"/>
      <family val="0"/>
      <charset val="1"/>
    </font>
    <font>
      <i val="true"/>
      <sz val="11"/>
      <color rgb="FF4B5563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4"/>
      <color rgb="FF1A365D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1182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374151"/>
      </patternFill>
    </fill>
    <fill>
      <patternFill patternType="solid">
        <fgColor rgb="FF2D7D46"/>
        <bgColor rgb="FF1E6B3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0E9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FBF3DC"/>
          <bgColor rgb="FF000000"/>
        </patternFill>
      </fill>
    </dxf>
    <dxf>
      <fill>
        <patternFill patternType="solid">
          <fgColor rgb="FF2D7D46"/>
          <bgColor rgb="FF000000"/>
        </patternFill>
      </fill>
    </dxf>
    <dxf>
      <fill>
        <patternFill patternType="solid">
          <fgColor rgb="FF7A6100"/>
          <bgColor rgb="FF000000"/>
        </patternFill>
      </fill>
    </dxf>
    <dxf>
      <fill>
        <patternFill patternType="solid">
          <fgColor rgb="FFCDEBD5"/>
          <bgColor rgb="FF000000"/>
        </patternFill>
      </fill>
    </dxf>
    <dxf>
      <fill>
        <patternFill patternType="solid">
          <fgColor rgb="FFE3F2E5"/>
          <bgColor rgb="FF000000"/>
        </patternFill>
      </fill>
    </dxf>
    <dxf>
      <fill>
        <patternFill patternType="solid">
          <fgColor rgb="FFFFD9D9"/>
          <bgColor rgb="FF000000"/>
        </patternFill>
      </fill>
    </dxf>
    <dxf>
      <fill>
        <patternFill patternType="solid">
          <fgColor rgb="FFFFE5E5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7F1D1D"/>
          <bgColor rgb="FF000000"/>
        </patternFill>
      </fill>
    </dxf>
    <dxf>
      <fill>
        <patternFill patternType="solid">
          <fgColor rgb="FF8A6100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5DBE3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F1C40F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3B2F00"/>
          <bgColor rgb="FF000000"/>
        </patternFill>
      </fill>
    </dxf>
    <dxf>
      <font>
        <name val="Arial"/>
        <charset val="1"/>
        <family val="0"/>
        <b val="1"/>
        <color rgb="FF9B1C1C"/>
        <sz val="10"/>
      </font>
      <fill>
        <patternFill>
          <bgColor rgb="FFFFE5E5"/>
        </patternFill>
      </fill>
    </dxf>
    <dxf>
      <font>
        <name val="Arial"/>
        <charset val="1"/>
        <family val="0"/>
        <b val="1"/>
        <color rgb="FF7F1D1D"/>
        <sz val="10"/>
      </font>
      <fill>
        <patternFill>
          <bgColor rgb="FFFFD9D9"/>
        </patternFill>
      </fill>
    </dxf>
    <dxf>
      <font>
        <name val="Arial"/>
        <charset val="1"/>
        <family val="0"/>
        <b val="1"/>
        <color rgb="FF8A6100"/>
        <sz val="10"/>
      </font>
      <fill>
        <patternFill>
          <bgColor rgb="FFFFF4D6"/>
        </patternFill>
      </fill>
    </dxf>
    <dxf>
      <font>
        <name val="Arial"/>
        <charset val="1"/>
        <family val="0"/>
        <b val="1"/>
        <color rgb="FF1E6B34"/>
        <sz val="10"/>
      </font>
      <fill>
        <patternFill>
          <bgColor rgb="FFE3F2E5"/>
        </patternFill>
      </fill>
    </dxf>
    <dxf>
      <font>
        <name val="Arial"/>
        <charset val="1"/>
        <family val="0"/>
        <b val="1"/>
        <color rgb="FF14532D"/>
        <sz val="10"/>
      </font>
      <fill>
        <patternFill>
          <bgColor rgb="FFCDEBD5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67E22"/>
        </patternFill>
      </fill>
    </dxf>
    <dxf>
      <font>
        <name val="Arial"/>
        <charset val="1"/>
        <family val="0"/>
        <b val="1"/>
        <color rgb="FF3B2F00"/>
        <sz val="10"/>
      </font>
      <fill>
        <patternFill>
          <bgColor rgb="FFF1C40F"/>
        </patternFill>
      </fill>
    </dxf>
    <dxf>
      <font>
        <name val="Arial"/>
        <charset val="1"/>
        <family val="0"/>
        <b val="1"/>
        <color rgb="FF374151"/>
        <sz val="10"/>
      </font>
      <fill>
        <patternFill>
          <bgColor rgb="FFD5DBE3"/>
        </patternFill>
      </fill>
    </dxf>
    <dxf>
      <font>
        <name val="Arial"/>
        <charset val="1"/>
        <family val="0"/>
        <b val="1"/>
        <color rgb="FF1A365D"/>
        <sz val="10"/>
      </font>
      <fill>
        <patternFill>
          <bgColor rgb="FFEEF2F7"/>
        </patternFill>
      </fill>
    </dxf>
    <dxf>
      <font>
        <name val="Arial"/>
        <charset val="1"/>
        <family val="0"/>
        <b val="1"/>
        <color rgb="FF2D7D46"/>
        <sz val="10"/>
      </font>
      <fill>
        <patternFill>
          <bgColor rgb="FFE8F0E9"/>
        </patternFill>
      </fill>
    </dxf>
    <dxf>
      <font>
        <name val="Arial"/>
        <charset val="1"/>
        <family val="0"/>
        <b val="1"/>
        <color rgb="FF7A6100"/>
        <sz val="10"/>
      </font>
      <fill>
        <patternFill>
          <bgColor rgb="FFFBF3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1E6B34"/>
      <rgbColor rgb="FF000080"/>
      <rgbColor rgb="FF7A6100"/>
      <rgbColor rgb="FF800080"/>
      <rgbColor rgb="FF14532D"/>
      <rgbColor rgb="FFFFE5E5"/>
      <rgbColor rgb="FF8A6100"/>
      <rgbColor rgb="FF9999FF"/>
      <rgbColor rgb="FFC0392B"/>
      <rgbColor rgb="FFFFF4D6"/>
      <rgbColor rgb="FFE3F2E5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9"/>
      <rgbColor rgb="FFCDEBD5"/>
      <rgbColor rgb="FFFBF3DC"/>
      <rgbColor rgb="FFEEF2F7"/>
      <rgbColor rgb="FFFF99CC"/>
      <rgbColor rgb="FFCC99FF"/>
      <rgbColor rgb="FFFFD9D9"/>
      <rgbColor rgb="FF3366FF"/>
      <rgbColor rgb="FF33CCCC"/>
      <rgbColor rgb="FF99CC00"/>
      <rgbColor rgb="FFF1C40F"/>
      <rgbColor rgb="FFFF9900"/>
      <rgbColor rgb="FFE67E22"/>
      <rgbColor rgb="FF6B7280"/>
      <rgbColor rgb="FF969696"/>
      <rgbColor rgb="FF1A365D"/>
      <rgbColor rgb="FF2D7D46"/>
      <rgbColor rgb="FF111827"/>
      <rgbColor rgb="FF3B2F00"/>
      <rgbColor rgb="FF9B1C1C"/>
      <rgbColor rgb="FF993366"/>
      <rgbColor rgb="FF4B5563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2" min="11" style="0" width="6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6.15" hidden="false" customHeight="false" outlineLevel="0" collapsed="false">
      <c r="A5" s="4" t="s">
        <v>3</v>
      </c>
    </row>
    <row r="7" customFormat="false" ht="30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</row>
    <row r="8" customFormat="false" ht="15" hidden="false" customHeight="false" outlineLevel="0" collapsed="false">
      <c r="A8" s="6" t="s">
        <v>16</v>
      </c>
      <c r="B8" s="7" t="n">
        <f aca="false">COUNTIF(Scorecard!$B$2:$B$351,$A8)</f>
        <v>25</v>
      </c>
      <c r="C8" s="7" t="n">
        <f aca="false">COUNTIFS(Scorecard!$B$2:$B$351,$A8,Scorecard!$F$2:$F$351,"Strong")</f>
        <v>0</v>
      </c>
      <c r="D8" s="7" t="n">
        <f aca="false">COUNTIFS(Scorecard!$B$2:$B$351,$A8,Scorecard!$F$2:$F$351,"Present")</f>
        <v>0</v>
      </c>
      <c r="E8" s="7" t="n">
        <f aca="false">COUNTIFS(Scorecard!$B$2:$B$351,$A8,Scorecard!$F$2:$F$351,"Partial")</f>
        <v>7</v>
      </c>
      <c r="F8" s="7" t="n">
        <f aca="false">COUNTIFS(Scorecard!$B$2:$B$351,$A8,Scorecard!$F$2:$F$351,"Mock")</f>
        <v>0</v>
      </c>
      <c r="G8" s="7" t="n">
        <f aca="false">COUNTIFS(Scorecard!$B$2:$B$351,$A8,Scorecard!$F$2:$F$351,"Absent")</f>
        <v>18</v>
      </c>
      <c r="H8" s="7" t="n">
        <f aca="false">C8+D8</f>
        <v>0</v>
      </c>
      <c r="I8" s="8" t="n">
        <f aca="false">IFERROR(H8/B8,0)</f>
        <v>0</v>
      </c>
      <c r="J8" s="8" t="n">
        <f aca="false">IFERROR((C8*1+D8*0.85+E8*0.4+F8*0.05)/B8,0)</f>
        <v>0.112</v>
      </c>
      <c r="K8" s="7" t="n">
        <f aca="false">COUNTIFS(Scorecard!$B$2:$B$351,$A8,Scorecard!$G$2:$G$351,"P0")</f>
        <v>2</v>
      </c>
      <c r="L8" s="7" t="n">
        <f aca="false">COUNTIFS(Scorecard!$B$2:$B$351,$A8,Scorecard!$G$2:$G$351,"P1")</f>
        <v>13</v>
      </c>
    </row>
    <row r="9" customFormat="false" ht="15" hidden="false" customHeight="false" outlineLevel="0" collapsed="false">
      <c r="A9" s="6" t="s">
        <v>17</v>
      </c>
      <c r="B9" s="7" t="n">
        <f aca="false">COUNTIF(Scorecard!$B$2:$B$351,$A9)</f>
        <v>22</v>
      </c>
      <c r="C9" s="7" t="n">
        <f aca="false">COUNTIFS(Scorecard!$B$2:$B$351,$A9,Scorecard!$F$2:$F$351,"Strong")</f>
        <v>1</v>
      </c>
      <c r="D9" s="7" t="n">
        <f aca="false">COUNTIFS(Scorecard!$B$2:$B$351,$A9,Scorecard!$F$2:$F$351,"Present")</f>
        <v>4</v>
      </c>
      <c r="E9" s="7" t="n">
        <f aca="false">COUNTIFS(Scorecard!$B$2:$B$351,$A9,Scorecard!$F$2:$F$351,"Partial")</f>
        <v>7</v>
      </c>
      <c r="F9" s="7" t="n">
        <f aca="false">COUNTIFS(Scorecard!$B$2:$B$351,$A9,Scorecard!$F$2:$F$351,"Mock")</f>
        <v>1</v>
      </c>
      <c r="G9" s="7" t="n">
        <f aca="false">COUNTIFS(Scorecard!$B$2:$B$351,$A9,Scorecard!$F$2:$F$351,"Absent")</f>
        <v>9</v>
      </c>
      <c r="H9" s="7" t="n">
        <f aca="false">C9+D9</f>
        <v>5</v>
      </c>
      <c r="I9" s="8" t="n">
        <f aca="false">IFERROR(H9/B9,0)</f>
        <v>0.227272727272727</v>
      </c>
      <c r="J9" s="8" t="n">
        <f aca="false">IFERROR((C9*1+D9*0.85+E9*0.4+F9*0.05)/B9,0)</f>
        <v>0.329545454545455</v>
      </c>
      <c r="K9" s="7" t="n">
        <f aca="false">COUNTIFS(Scorecard!$B$2:$B$351,$A9,Scorecard!$G$2:$G$351,"P0")</f>
        <v>0</v>
      </c>
      <c r="L9" s="7" t="n">
        <f aca="false">COUNTIFS(Scorecard!$B$2:$B$351,$A9,Scorecard!$G$2:$G$351,"P1")</f>
        <v>14</v>
      </c>
    </row>
    <row r="10" customFormat="false" ht="15" hidden="false" customHeight="false" outlineLevel="0" collapsed="false">
      <c r="A10" s="6" t="s">
        <v>18</v>
      </c>
      <c r="B10" s="7" t="n">
        <f aca="false">COUNTIF(Scorecard!$B$2:$B$351,$A10)</f>
        <v>23</v>
      </c>
      <c r="C10" s="7" t="n">
        <f aca="false">COUNTIFS(Scorecard!$B$2:$B$351,$A10,Scorecard!$F$2:$F$351,"Strong")</f>
        <v>2</v>
      </c>
      <c r="D10" s="7" t="n">
        <f aca="false">COUNTIFS(Scorecard!$B$2:$B$351,$A10,Scorecard!$F$2:$F$351,"Present")</f>
        <v>2</v>
      </c>
      <c r="E10" s="7" t="n">
        <f aca="false">COUNTIFS(Scorecard!$B$2:$B$351,$A10,Scorecard!$F$2:$F$351,"Partial")</f>
        <v>5</v>
      </c>
      <c r="F10" s="7" t="n">
        <f aca="false">COUNTIFS(Scorecard!$B$2:$B$351,$A10,Scorecard!$F$2:$F$351,"Mock")</f>
        <v>0</v>
      </c>
      <c r="G10" s="7" t="n">
        <f aca="false">COUNTIFS(Scorecard!$B$2:$B$351,$A10,Scorecard!$F$2:$F$351,"Absent")</f>
        <v>14</v>
      </c>
      <c r="H10" s="7" t="n">
        <f aca="false">C10+D10</f>
        <v>4</v>
      </c>
      <c r="I10" s="8" t="n">
        <f aca="false">IFERROR(H10/B10,0)</f>
        <v>0.173913043478261</v>
      </c>
      <c r="J10" s="8" t="n">
        <f aca="false">IFERROR((C10*1+D10*0.85+E10*0.4+F10*0.05)/B10,0)</f>
        <v>0.247826086956522</v>
      </c>
      <c r="K10" s="7" t="n">
        <f aca="false">COUNTIFS(Scorecard!$B$2:$B$351,$A10,Scorecard!$G$2:$G$351,"P0")</f>
        <v>1</v>
      </c>
      <c r="L10" s="7" t="n">
        <f aca="false">COUNTIFS(Scorecard!$B$2:$B$351,$A10,Scorecard!$G$2:$G$351,"P1")</f>
        <v>6</v>
      </c>
    </row>
    <row r="11" customFormat="false" ht="15" hidden="false" customHeight="false" outlineLevel="0" collapsed="false">
      <c r="A11" s="6" t="s">
        <v>19</v>
      </c>
      <c r="B11" s="7" t="n">
        <f aca="false">COUNTIF(Scorecard!$B$2:$B$351,$A11)</f>
        <v>18</v>
      </c>
      <c r="C11" s="7" t="n">
        <f aca="false">COUNTIFS(Scorecard!$B$2:$B$351,$A11,Scorecard!$F$2:$F$351,"Strong")</f>
        <v>1</v>
      </c>
      <c r="D11" s="7" t="n">
        <f aca="false">COUNTIFS(Scorecard!$B$2:$B$351,$A11,Scorecard!$F$2:$F$351,"Present")</f>
        <v>1</v>
      </c>
      <c r="E11" s="7" t="n">
        <f aca="false">COUNTIFS(Scorecard!$B$2:$B$351,$A11,Scorecard!$F$2:$F$351,"Partial")</f>
        <v>6</v>
      </c>
      <c r="F11" s="7" t="n">
        <f aca="false">COUNTIFS(Scorecard!$B$2:$B$351,$A11,Scorecard!$F$2:$F$351,"Mock")</f>
        <v>0</v>
      </c>
      <c r="G11" s="7" t="n">
        <f aca="false">COUNTIFS(Scorecard!$B$2:$B$351,$A11,Scorecard!$F$2:$F$351,"Absent")</f>
        <v>10</v>
      </c>
      <c r="H11" s="7" t="n">
        <f aca="false">C11+D11</f>
        <v>2</v>
      </c>
      <c r="I11" s="8" t="n">
        <f aca="false">IFERROR(H11/B11,0)</f>
        <v>0.111111111111111</v>
      </c>
      <c r="J11" s="8" t="n">
        <f aca="false">IFERROR((C11*1+D11*0.85+E11*0.4+F11*0.05)/B11,0)</f>
        <v>0.236111111111111</v>
      </c>
      <c r="K11" s="7" t="n">
        <f aca="false">COUNTIFS(Scorecard!$B$2:$B$351,$A11,Scorecard!$G$2:$G$351,"P0")</f>
        <v>0</v>
      </c>
      <c r="L11" s="7" t="n">
        <f aca="false">COUNTIFS(Scorecard!$B$2:$B$351,$A11,Scorecard!$G$2:$G$351,"P1")</f>
        <v>2</v>
      </c>
    </row>
    <row r="12" customFormat="false" ht="15" hidden="false" customHeight="false" outlineLevel="0" collapsed="false">
      <c r="A12" s="6" t="s">
        <v>20</v>
      </c>
      <c r="B12" s="7" t="n">
        <f aca="false">COUNTIF(Scorecard!$B$2:$B$351,$A12)</f>
        <v>20</v>
      </c>
      <c r="C12" s="7" t="n">
        <f aca="false">COUNTIFS(Scorecard!$B$2:$B$351,$A12,Scorecard!$F$2:$F$351,"Strong")</f>
        <v>2</v>
      </c>
      <c r="D12" s="7" t="n">
        <f aca="false">COUNTIFS(Scorecard!$B$2:$B$351,$A12,Scorecard!$F$2:$F$351,"Present")</f>
        <v>2</v>
      </c>
      <c r="E12" s="7" t="n">
        <f aca="false">COUNTIFS(Scorecard!$B$2:$B$351,$A12,Scorecard!$F$2:$F$351,"Partial")</f>
        <v>2</v>
      </c>
      <c r="F12" s="7" t="n">
        <f aca="false">COUNTIFS(Scorecard!$B$2:$B$351,$A12,Scorecard!$F$2:$F$351,"Mock")</f>
        <v>0</v>
      </c>
      <c r="G12" s="7" t="n">
        <f aca="false">COUNTIFS(Scorecard!$B$2:$B$351,$A12,Scorecard!$F$2:$F$351,"Absent")</f>
        <v>14</v>
      </c>
      <c r="H12" s="7" t="n">
        <f aca="false">C12+D12</f>
        <v>4</v>
      </c>
      <c r="I12" s="8" t="n">
        <f aca="false">IFERROR(H12/B12,0)</f>
        <v>0.2</v>
      </c>
      <c r="J12" s="8" t="n">
        <f aca="false">IFERROR((C12*1+D12*0.85+E12*0.4+F12*0.05)/B12,0)</f>
        <v>0.225</v>
      </c>
      <c r="K12" s="7" t="n">
        <f aca="false">COUNTIFS(Scorecard!$B$2:$B$351,$A12,Scorecard!$G$2:$G$351,"P0")</f>
        <v>0</v>
      </c>
      <c r="L12" s="7" t="n">
        <f aca="false">COUNTIFS(Scorecard!$B$2:$B$351,$A12,Scorecard!$G$2:$G$351,"P1")</f>
        <v>3</v>
      </c>
    </row>
    <row r="13" customFormat="false" ht="15" hidden="false" customHeight="false" outlineLevel="0" collapsed="false">
      <c r="A13" s="6" t="s">
        <v>21</v>
      </c>
      <c r="B13" s="7" t="n">
        <f aca="false">COUNTIF(Scorecard!$B$2:$B$351,$A13)</f>
        <v>18</v>
      </c>
      <c r="C13" s="7" t="n">
        <f aca="false">COUNTIFS(Scorecard!$B$2:$B$351,$A13,Scorecard!$F$2:$F$351,"Strong")</f>
        <v>0</v>
      </c>
      <c r="D13" s="7" t="n">
        <f aca="false">COUNTIFS(Scorecard!$B$2:$B$351,$A13,Scorecard!$F$2:$F$351,"Present")</f>
        <v>1</v>
      </c>
      <c r="E13" s="7" t="n">
        <f aca="false">COUNTIFS(Scorecard!$B$2:$B$351,$A13,Scorecard!$F$2:$F$351,"Partial")</f>
        <v>3</v>
      </c>
      <c r="F13" s="7" t="n">
        <f aca="false">COUNTIFS(Scorecard!$B$2:$B$351,$A13,Scorecard!$F$2:$F$351,"Mock")</f>
        <v>1</v>
      </c>
      <c r="G13" s="7" t="n">
        <f aca="false">COUNTIFS(Scorecard!$B$2:$B$351,$A13,Scorecard!$F$2:$F$351,"Absent")</f>
        <v>13</v>
      </c>
      <c r="H13" s="7" t="n">
        <f aca="false">C13+D13</f>
        <v>1</v>
      </c>
      <c r="I13" s="8" t="n">
        <f aca="false">IFERROR(H13/B13,0)</f>
        <v>0.0555555555555556</v>
      </c>
      <c r="J13" s="8" t="n">
        <f aca="false">IFERROR((C13*1+D13*0.85+E13*0.4+F13*0.05)/B13,0)</f>
        <v>0.116666666666667</v>
      </c>
      <c r="K13" s="7" t="n">
        <f aca="false">COUNTIFS(Scorecard!$B$2:$B$351,$A13,Scorecard!$G$2:$G$351,"P0")</f>
        <v>0</v>
      </c>
      <c r="L13" s="7" t="n">
        <f aca="false">COUNTIFS(Scorecard!$B$2:$B$351,$A13,Scorecard!$G$2:$G$351,"P1")</f>
        <v>5</v>
      </c>
    </row>
    <row r="14" customFormat="false" ht="15" hidden="false" customHeight="false" outlineLevel="0" collapsed="false">
      <c r="A14" s="6" t="s">
        <v>22</v>
      </c>
      <c r="B14" s="7" t="n">
        <f aca="false">COUNTIF(Scorecard!$B$2:$B$351,$A14)</f>
        <v>10</v>
      </c>
      <c r="C14" s="7" t="n">
        <f aca="false">COUNTIFS(Scorecard!$B$2:$B$351,$A14,Scorecard!$F$2:$F$351,"Strong")</f>
        <v>0</v>
      </c>
      <c r="D14" s="7" t="n">
        <f aca="false">COUNTIFS(Scorecard!$B$2:$B$351,$A14,Scorecard!$F$2:$F$351,"Present")</f>
        <v>0</v>
      </c>
      <c r="E14" s="7" t="n">
        <f aca="false">COUNTIFS(Scorecard!$B$2:$B$351,$A14,Scorecard!$F$2:$F$351,"Partial")</f>
        <v>0</v>
      </c>
      <c r="F14" s="7" t="n">
        <f aca="false">COUNTIFS(Scorecard!$B$2:$B$351,$A14,Scorecard!$F$2:$F$351,"Mock")</f>
        <v>0</v>
      </c>
      <c r="G14" s="7" t="n">
        <f aca="false">COUNTIFS(Scorecard!$B$2:$B$351,$A14,Scorecard!$F$2:$F$351,"Absent")</f>
        <v>10</v>
      </c>
      <c r="H14" s="7" t="n">
        <f aca="false">C14+D14</f>
        <v>0</v>
      </c>
      <c r="I14" s="8" t="n">
        <f aca="false">IFERROR(H14/B14,0)</f>
        <v>0</v>
      </c>
      <c r="J14" s="8" t="n">
        <f aca="false">IFERROR((C14*1+D14*0.85+E14*0.4+F14*0.05)/B14,0)</f>
        <v>0</v>
      </c>
      <c r="K14" s="7" t="n">
        <f aca="false">COUNTIFS(Scorecard!$B$2:$B$351,$A14,Scorecard!$G$2:$G$351,"P0")</f>
        <v>0</v>
      </c>
      <c r="L14" s="7" t="n">
        <f aca="false">COUNTIFS(Scorecard!$B$2:$B$351,$A14,Scorecard!$G$2:$G$351,"P1")</f>
        <v>0</v>
      </c>
    </row>
    <row r="15" customFormat="false" ht="15" hidden="false" customHeight="false" outlineLevel="0" collapsed="false">
      <c r="A15" s="6" t="s">
        <v>23</v>
      </c>
      <c r="B15" s="7" t="n">
        <f aca="false">COUNTIF(Scorecard!$B$2:$B$351,$A15)</f>
        <v>18</v>
      </c>
      <c r="C15" s="7" t="n">
        <f aca="false">COUNTIFS(Scorecard!$B$2:$B$351,$A15,Scorecard!$F$2:$F$351,"Strong")</f>
        <v>0</v>
      </c>
      <c r="D15" s="7" t="n">
        <f aca="false">COUNTIFS(Scorecard!$B$2:$B$351,$A15,Scorecard!$F$2:$F$351,"Present")</f>
        <v>1</v>
      </c>
      <c r="E15" s="7" t="n">
        <f aca="false">COUNTIFS(Scorecard!$B$2:$B$351,$A15,Scorecard!$F$2:$F$351,"Partial")</f>
        <v>2</v>
      </c>
      <c r="F15" s="7" t="n">
        <f aca="false">COUNTIFS(Scorecard!$B$2:$B$351,$A15,Scorecard!$F$2:$F$351,"Mock")</f>
        <v>0</v>
      </c>
      <c r="G15" s="7" t="n">
        <f aca="false">COUNTIFS(Scorecard!$B$2:$B$351,$A15,Scorecard!$F$2:$F$351,"Absent")</f>
        <v>15</v>
      </c>
      <c r="H15" s="7" t="n">
        <f aca="false">C15+D15</f>
        <v>1</v>
      </c>
      <c r="I15" s="8" t="n">
        <f aca="false">IFERROR(H15/B15,0)</f>
        <v>0.0555555555555556</v>
      </c>
      <c r="J15" s="8" t="n">
        <f aca="false">IFERROR((C15*1+D15*0.85+E15*0.4+F15*0.05)/B15,0)</f>
        <v>0.0916666666666667</v>
      </c>
      <c r="K15" s="7" t="n">
        <f aca="false">COUNTIFS(Scorecard!$B$2:$B$351,$A15,Scorecard!$G$2:$G$351,"P0")</f>
        <v>0</v>
      </c>
      <c r="L15" s="7" t="n">
        <f aca="false">COUNTIFS(Scorecard!$B$2:$B$351,$A15,Scorecard!$G$2:$G$351,"P1")</f>
        <v>0</v>
      </c>
    </row>
    <row r="16" customFormat="false" ht="15" hidden="false" customHeight="false" outlineLevel="0" collapsed="false">
      <c r="A16" s="6" t="s">
        <v>24</v>
      </c>
      <c r="B16" s="7" t="n">
        <f aca="false">COUNTIF(Scorecard!$B$2:$B$351,$A16)</f>
        <v>16</v>
      </c>
      <c r="C16" s="7" t="n">
        <f aca="false">COUNTIFS(Scorecard!$B$2:$B$351,$A16,Scorecard!$F$2:$F$351,"Strong")</f>
        <v>5</v>
      </c>
      <c r="D16" s="7" t="n">
        <f aca="false">COUNTIFS(Scorecard!$B$2:$B$351,$A16,Scorecard!$F$2:$F$351,"Present")</f>
        <v>6</v>
      </c>
      <c r="E16" s="7" t="n">
        <f aca="false">COUNTIFS(Scorecard!$B$2:$B$351,$A16,Scorecard!$F$2:$F$351,"Partial")</f>
        <v>1</v>
      </c>
      <c r="F16" s="7" t="n">
        <f aca="false">COUNTIFS(Scorecard!$B$2:$B$351,$A16,Scorecard!$F$2:$F$351,"Mock")</f>
        <v>1</v>
      </c>
      <c r="G16" s="7" t="n">
        <f aca="false">COUNTIFS(Scorecard!$B$2:$B$351,$A16,Scorecard!$F$2:$F$351,"Absent")</f>
        <v>3</v>
      </c>
      <c r="H16" s="7" t="n">
        <f aca="false">C16+D16</f>
        <v>11</v>
      </c>
      <c r="I16" s="8" t="n">
        <f aca="false">IFERROR(H16/B16,0)</f>
        <v>0.6875</v>
      </c>
      <c r="J16" s="8" t="n">
        <f aca="false">IFERROR((C16*1+D16*0.85+E16*0.4+F16*0.05)/B16,0)</f>
        <v>0.659375</v>
      </c>
      <c r="K16" s="7" t="n">
        <f aca="false">COUNTIFS(Scorecard!$B$2:$B$351,$A16,Scorecard!$G$2:$G$351,"P0")</f>
        <v>0</v>
      </c>
      <c r="L16" s="7" t="n">
        <f aca="false">COUNTIFS(Scorecard!$B$2:$B$351,$A16,Scorecard!$G$2:$G$351,"P1")</f>
        <v>1</v>
      </c>
    </row>
    <row r="17" customFormat="false" ht="15" hidden="false" customHeight="false" outlineLevel="0" collapsed="false">
      <c r="A17" s="6" t="s">
        <v>25</v>
      </c>
      <c r="B17" s="7" t="n">
        <f aca="false">COUNTIF(Scorecard!$B$2:$B$351,$A17)</f>
        <v>19</v>
      </c>
      <c r="C17" s="7" t="n">
        <f aca="false">COUNTIFS(Scorecard!$B$2:$B$351,$A17,Scorecard!$F$2:$F$351,"Strong")</f>
        <v>0</v>
      </c>
      <c r="D17" s="7" t="n">
        <f aca="false">COUNTIFS(Scorecard!$B$2:$B$351,$A17,Scorecard!$F$2:$F$351,"Present")</f>
        <v>0</v>
      </c>
      <c r="E17" s="7" t="n">
        <f aca="false">COUNTIFS(Scorecard!$B$2:$B$351,$A17,Scorecard!$F$2:$F$351,"Partial")</f>
        <v>0</v>
      </c>
      <c r="F17" s="7" t="n">
        <f aca="false">COUNTIFS(Scorecard!$B$2:$B$351,$A17,Scorecard!$F$2:$F$351,"Mock")</f>
        <v>0</v>
      </c>
      <c r="G17" s="7" t="n">
        <f aca="false">COUNTIFS(Scorecard!$B$2:$B$351,$A17,Scorecard!$F$2:$F$351,"Absent")</f>
        <v>19</v>
      </c>
      <c r="H17" s="7" t="n">
        <f aca="false">C17+D17</f>
        <v>0</v>
      </c>
      <c r="I17" s="8" t="n">
        <f aca="false">IFERROR(H17/B17,0)</f>
        <v>0</v>
      </c>
      <c r="J17" s="8" t="n">
        <f aca="false">IFERROR((C17*1+D17*0.85+E17*0.4+F17*0.05)/B17,0)</f>
        <v>0</v>
      </c>
      <c r="K17" s="7" t="n">
        <f aca="false">COUNTIFS(Scorecard!$B$2:$B$351,$A17,Scorecard!$G$2:$G$351,"P0")</f>
        <v>0</v>
      </c>
      <c r="L17" s="7" t="n">
        <f aca="false">COUNTIFS(Scorecard!$B$2:$B$351,$A17,Scorecard!$G$2:$G$351,"P1")</f>
        <v>0</v>
      </c>
    </row>
    <row r="18" customFormat="false" ht="15" hidden="false" customHeight="false" outlineLevel="0" collapsed="false">
      <c r="A18" s="6" t="s">
        <v>26</v>
      </c>
      <c r="B18" s="7" t="n">
        <f aca="false">COUNTIF(Scorecard!$B$2:$B$351,$A18)</f>
        <v>17</v>
      </c>
      <c r="C18" s="7" t="n">
        <f aca="false">COUNTIFS(Scorecard!$B$2:$B$351,$A18,Scorecard!$F$2:$F$351,"Strong")</f>
        <v>0</v>
      </c>
      <c r="D18" s="7" t="n">
        <f aca="false">COUNTIFS(Scorecard!$B$2:$B$351,$A18,Scorecard!$F$2:$F$351,"Present")</f>
        <v>0</v>
      </c>
      <c r="E18" s="7" t="n">
        <f aca="false">COUNTIFS(Scorecard!$B$2:$B$351,$A18,Scorecard!$F$2:$F$351,"Partial")</f>
        <v>0</v>
      </c>
      <c r="F18" s="7" t="n">
        <f aca="false">COUNTIFS(Scorecard!$B$2:$B$351,$A18,Scorecard!$F$2:$F$351,"Mock")</f>
        <v>0</v>
      </c>
      <c r="G18" s="7" t="n">
        <f aca="false">COUNTIFS(Scorecard!$B$2:$B$351,$A18,Scorecard!$F$2:$F$351,"Absent")</f>
        <v>17</v>
      </c>
      <c r="H18" s="7" t="n">
        <f aca="false">C18+D18</f>
        <v>0</v>
      </c>
      <c r="I18" s="8" t="n">
        <f aca="false">IFERROR(H18/B18,0)</f>
        <v>0</v>
      </c>
      <c r="J18" s="8" t="n">
        <f aca="false">IFERROR((C18*1+D18*0.85+E18*0.4+F18*0.05)/B18,0)</f>
        <v>0</v>
      </c>
      <c r="K18" s="7" t="n">
        <f aca="false">COUNTIFS(Scorecard!$B$2:$B$351,$A18,Scorecard!$G$2:$G$351,"P0")</f>
        <v>0</v>
      </c>
      <c r="L18" s="7" t="n">
        <f aca="false">COUNTIFS(Scorecard!$B$2:$B$351,$A18,Scorecard!$G$2:$G$351,"P1")</f>
        <v>0</v>
      </c>
    </row>
    <row r="19" customFormat="false" ht="15" hidden="false" customHeight="false" outlineLevel="0" collapsed="false">
      <c r="A19" s="6" t="s">
        <v>27</v>
      </c>
      <c r="B19" s="7" t="n">
        <f aca="false">COUNTIF(Scorecard!$B$2:$B$351,$A19)</f>
        <v>12</v>
      </c>
      <c r="C19" s="7" t="n">
        <f aca="false">COUNTIFS(Scorecard!$B$2:$B$351,$A19,Scorecard!$F$2:$F$351,"Strong")</f>
        <v>0</v>
      </c>
      <c r="D19" s="7" t="n">
        <f aca="false">COUNTIFS(Scorecard!$B$2:$B$351,$A19,Scorecard!$F$2:$F$351,"Present")</f>
        <v>0</v>
      </c>
      <c r="E19" s="7" t="n">
        <f aca="false">COUNTIFS(Scorecard!$B$2:$B$351,$A19,Scorecard!$F$2:$F$351,"Partial")</f>
        <v>0</v>
      </c>
      <c r="F19" s="7" t="n">
        <f aca="false">COUNTIFS(Scorecard!$B$2:$B$351,$A19,Scorecard!$F$2:$F$351,"Mock")</f>
        <v>0</v>
      </c>
      <c r="G19" s="7" t="n">
        <f aca="false">COUNTIFS(Scorecard!$B$2:$B$351,$A19,Scorecard!$F$2:$F$351,"Absent")</f>
        <v>12</v>
      </c>
      <c r="H19" s="7" t="n">
        <f aca="false">C19+D19</f>
        <v>0</v>
      </c>
      <c r="I19" s="8" t="n">
        <f aca="false">IFERROR(H19/B19,0)</f>
        <v>0</v>
      </c>
      <c r="J19" s="8" t="n">
        <f aca="false">IFERROR((C19*1+D19*0.85+E19*0.4+F19*0.05)/B19,0)</f>
        <v>0</v>
      </c>
      <c r="K19" s="7" t="n">
        <f aca="false">COUNTIFS(Scorecard!$B$2:$B$351,$A19,Scorecard!$G$2:$G$351,"P0")</f>
        <v>0</v>
      </c>
      <c r="L19" s="7" t="n">
        <f aca="false">COUNTIFS(Scorecard!$B$2:$B$351,$A19,Scorecard!$G$2:$G$351,"P1")</f>
        <v>0</v>
      </c>
    </row>
    <row r="20" customFormat="false" ht="15" hidden="false" customHeight="false" outlineLevel="0" collapsed="false">
      <c r="A20" s="6" t="s">
        <v>28</v>
      </c>
      <c r="B20" s="7" t="n">
        <f aca="false">COUNTIF(Scorecard!$B$2:$B$351,$A20)</f>
        <v>14</v>
      </c>
      <c r="C20" s="7" t="n">
        <f aca="false">COUNTIFS(Scorecard!$B$2:$B$351,$A20,Scorecard!$F$2:$F$351,"Strong")</f>
        <v>0</v>
      </c>
      <c r="D20" s="7" t="n">
        <f aca="false">COUNTIFS(Scorecard!$B$2:$B$351,$A20,Scorecard!$F$2:$F$351,"Present")</f>
        <v>0</v>
      </c>
      <c r="E20" s="7" t="n">
        <f aca="false">COUNTIFS(Scorecard!$B$2:$B$351,$A20,Scorecard!$F$2:$F$351,"Partial")</f>
        <v>1</v>
      </c>
      <c r="F20" s="7" t="n">
        <f aca="false">COUNTIFS(Scorecard!$B$2:$B$351,$A20,Scorecard!$F$2:$F$351,"Mock")</f>
        <v>0</v>
      </c>
      <c r="G20" s="7" t="n">
        <f aca="false">COUNTIFS(Scorecard!$B$2:$B$351,$A20,Scorecard!$F$2:$F$351,"Absent")</f>
        <v>13</v>
      </c>
      <c r="H20" s="7" t="n">
        <f aca="false">C20+D20</f>
        <v>0</v>
      </c>
      <c r="I20" s="8" t="n">
        <f aca="false">IFERROR(H20/B20,0)</f>
        <v>0</v>
      </c>
      <c r="J20" s="8" t="n">
        <f aca="false">IFERROR((C20*1+D20*0.85+E20*0.4+F20*0.05)/B20,0)</f>
        <v>0.0285714285714286</v>
      </c>
      <c r="K20" s="7" t="n">
        <f aca="false">COUNTIFS(Scorecard!$B$2:$B$351,$A20,Scorecard!$G$2:$G$351,"P0")</f>
        <v>0</v>
      </c>
      <c r="L20" s="7" t="n">
        <f aca="false">COUNTIFS(Scorecard!$B$2:$B$351,$A20,Scorecard!$G$2:$G$351,"P1")</f>
        <v>1</v>
      </c>
    </row>
    <row r="21" customFormat="false" ht="15" hidden="false" customHeight="false" outlineLevel="0" collapsed="false">
      <c r="A21" s="6" t="s">
        <v>29</v>
      </c>
      <c r="B21" s="7" t="n">
        <f aca="false">COUNTIF(Scorecard!$B$2:$B$351,$A21)</f>
        <v>17</v>
      </c>
      <c r="C21" s="7" t="n">
        <f aca="false">COUNTIFS(Scorecard!$B$2:$B$351,$A21,Scorecard!$F$2:$F$351,"Strong")</f>
        <v>0</v>
      </c>
      <c r="D21" s="7" t="n">
        <f aca="false">COUNTIFS(Scorecard!$B$2:$B$351,$A21,Scorecard!$F$2:$F$351,"Present")</f>
        <v>0</v>
      </c>
      <c r="E21" s="7" t="n">
        <f aca="false">COUNTIFS(Scorecard!$B$2:$B$351,$A21,Scorecard!$F$2:$F$351,"Partial")</f>
        <v>4</v>
      </c>
      <c r="F21" s="7" t="n">
        <f aca="false">COUNTIFS(Scorecard!$B$2:$B$351,$A21,Scorecard!$F$2:$F$351,"Mock")</f>
        <v>0</v>
      </c>
      <c r="G21" s="7" t="n">
        <f aca="false">COUNTIFS(Scorecard!$B$2:$B$351,$A21,Scorecard!$F$2:$F$351,"Absent")</f>
        <v>13</v>
      </c>
      <c r="H21" s="7" t="n">
        <f aca="false">C21+D21</f>
        <v>0</v>
      </c>
      <c r="I21" s="8" t="n">
        <f aca="false">IFERROR(H21/B21,0)</f>
        <v>0</v>
      </c>
      <c r="J21" s="8" t="n">
        <f aca="false">IFERROR((C21*1+D21*0.85+E21*0.4+F21*0.05)/B21,0)</f>
        <v>0.0941176470588235</v>
      </c>
      <c r="K21" s="7" t="n">
        <f aca="false">COUNTIFS(Scorecard!$B$2:$B$351,$A21,Scorecard!$G$2:$G$351,"P0")</f>
        <v>2</v>
      </c>
      <c r="L21" s="7" t="n">
        <f aca="false">COUNTIFS(Scorecard!$B$2:$B$351,$A21,Scorecard!$G$2:$G$351,"P1")</f>
        <v>6</v>
      </c>
    </row>
    <row r="22" customFormat="false" ht="15" hidden="false" customHeight="false" outlineLevel="0" collapsed="false">
      <c r="A22" s="6" t="s">
        <v>30</v>
      </c>
      <c r="B22" s="7" t="n">
        <f aca="false">COUNTIF(Scorecard!$B$2:$B$351,$A22)</f>
        <v>18</v>
      </c>
      <c r="C22" s="7" t="n">
        <f aca="false">COUNTIFS(Scorecard!$B$2:$B$351,$A22,Scorecard!$F$2:$F$351,"Strong")</f>
        <v>0</v>
      </c>
      <c r="D22" s="7" t="n">
        <f aca="false">COUNTIFS(Scorecard!$B$2:$B$351,$A22,Scorecard!$F$2:$F$351,"Present")</f>
        <v>0</v>
      </c>
      <c r="E22" s="7" t="n">
        <f aca="false">COUNTIFS(Scorecard!$B$2:$B$351,$A22,Scorecard!$F$2:$F$351,"Partial")</f>
        <v>4</v>
      </c>
      <c r="F22" s="7" t="n">
        <f aca="false">COUNTIFS(Scorecard!$B$2:$B$351,$A22,Scorecard!$F$2:$F$351,"Mock")</f>
        <v>3</v>
      </c>
      <c r="G22" s="7" t="n">
        <f aca="false">COUNTIFS(Scorecard!$B$2:$B$351,$A22,Scorecard!$F$2:$F$351,"Absent")</f>
        <v>11</v>
      </c>
      <c r="H22" s="7" t="n">
        <f aca="false">C22+D22</f>
        <v>0</v>
      </c>
      <c r="I22" s="8" t="n">
        <f aca="false">IFERROR(H22/B22,0)</f>
        <v>0</v>
      </c>
      <c r="J22" s="8" t="n">
        <f aca="false">IFERROR((C22*1+D22*0.85+E22*0.4+F22*0.05)/B22,0)</f>
        <v>0.0972222222222222</v>
      </c>
      <c r="K22" s="7" t="n">
        <f aca="false">COUNTIFS(Scorecard!$B$2:$B$351,$A22,Scorecard!$G$2:$G$351,"P0")</f>
        <v>3</v>
      </c>
      <c r="L22" s="7" t="n">
        <f aca="false">COUNTIFS(Scorecard!$B$2:$B$351,$A22,Scorecard!$G$2:$G$351,"P1")</f>
        <v>0</v>
      </c>
    </row>
    <row r="23" customFormat="false" ht="15" hidden="false" customHeight="false" outlineLevel="0" collapsed="false">
      <c r="A23" s="6" t="s">
        <v>31</v>
      </c>
      <c r="B23" s="7" t="n">
        <f aca="false">COUNTIF(Scorecard!$B$2:$B$351,$A23)</f>
        <v>16</v>
      </c>
      <c r="C23" s="7" t="n">
        <f aca="false">COUNTIFS(Scorecard!$B$2:$B$351,$A23,Scorecard!$F$2:$F$351,"Strong")</f>
        <v>0</v>
      </c>
      <c r="D23" s="7" t="n">
        <f aca="false">COUNTIFS(Scorecard!$B$2:$B$351,$A23,Scorecard!$F$2:$F$351,"Present")</f>
        <v>0</v>
      </c>
      <c r="E23" s="7" t="n">
        <f aca="false">COUNTIFS(Scorecard!$B$2:$B$351,$A23,Scorecard!$F$2:$F$351,"Partial")</f>
        <v>1</v>
      </c>
      <c r="F23" s="7" t="n">
        <f aca="false">COUNTIFS(Scorecard!$B$2:$B$351,$A23,Scorecard!$F$2:$F$351,"Mock")</f>
        <v>0</v>
      </c>
      <c r="G23" s="7" t="n">
        <f aca="false">COUNTIFS(Scorecard!$B$2:$B$351,$A23,Scorecard!$F$2:$F$351,"Absent")</f>
        <v>15</v>
      </c>
      <c r="H23" s="7" t="n">
        <f aca="false">C23+D23</f>
        <v>0</v>
      </c>
      <c r="I23" s="8" t="n">
        <f aca="false">IFERROR(H23/B23,0)</f>
        <v>0</v>
      </c>
      <c r="J23" s="8" t="n">
        <f aca="false">IFERROR((C23*1+D23*0.85+E23*0.4+F23*0.05)/B23,0)</f>
        <v>0.025</v>
      </c>
      <c r="K23" s="7" t="n">
        <f aca="false">COUNTIFS(Scorecard!$B$2:$B$351,$A23,Scorecard!$G$2:$G$351,"P0")</f>
        <v>1</v>
      </c>
      <c r="L23" s="7" t="n">
        <f aca="false">COUNTIFS(Scorecard!$B$2:$B$351,$A23,Scorecard!$G$2:$G$351,"P1")</f>
        <v>5</v>
      </c>
    </row>
    <row r="24" customFormat="false" ht="15" hidden="false" customHeight="false" outlineLevel="0" collapsed="false">
      <c r="A24" s="6" t="s">
        <v>32</v>
      </c>
      <c r="B24" s="7" t="n">
        <f aca="false">COUNTIF(Scorecard!$B$2:$B$351,$A24)</f>
        <v>16</v>
      </c>
      <c r="C24" s="7" t="n">
        <f aca="false">COUNTIFS(Scorecard!$B$2:$B$351,$A24,Scorecard!$F$2:$F$351,"Strong")</f>
        <v>0</v>
      </c>
      <c r="D24" s="7" t="n">
        <f aca="false">COUNTIFS(Scorecard!$B$2:$B$351,$A24,Scorecard!$F$2:$F$351,"Present")</f>
        <v>0</v>
      </c>
      <c r="E24" s="7" t="n">
        <f aca="false">COUNTIFS(Scorecard!$B$2:$B$351,$A24,Scorecard!$F$2:$F$351,"Partial")</f>
        <v>1</v>
      </c>
      <c r="F24" s="7" t="n">
        <f aca="false">COUNTIFS(Scorecard!$B$2:$B$351,$A24,Scorecard!$F$2:$F$351,"Mock")</f>
        <v>0</v>
      </c>
      <c r="G24" s="7" t="n">
        <f aca="false">COUNTIFS(Scorecard!$B$2:$B$351,$A24,Scorecard!$F$2:$F$351,"Absent")</f>
        <v>15</v>
      </c>
      <c r="H24" s="7" t="n">
        <f aca="false">C24+D24</f>
        <v>0</v>
      </c>
      <c r="I24" s="8" t="n">
        <f aca="false">IFERROR(H24/B24,0)</f>
        <v>0</v>
      </c>
      <c r="J24" s="8" t="n">
        <f aca="false">IFERROR((C24*1+D24*0.85+E24*0.4+F24*0.05)/B24,0)</f>
        <v>0.025</v>
      </c>
      <c r="K24" s="7" t="n">
        <f aca="false">COUNTIFS(Scorecard!$B$2:$B$351,$A24,Scorecard!$G$2:$G$351,"P0")</f>
        <v>0</v>
      </c>
      <c r="L24" s="7" t="n">
        <f aca="false">COUNTIFS(Scorecard!$B$2:$B$351,$A24,Scorecard!$G$2:$G$351,"P1")</f>
        <v>10</v>
      </c>
    </row>
    <row r="25" customFormat="false" ht="23.85" hidden="false" customHeight="false" outlineLevel="0" collapsed="false">
      <c r="A25" s="6" t="s">
        <v>33</v>
      </c>
      <c r="B25" s="7" t="n">
        <f aca="false">COUNTIF(Scorecard!$B$2:$B$351,$A25)</f>
        <v>17</v>
      </c>
      <c r="C25" s="7" t="n">
        <f aca="false">COUNTIFS(Scorecard!$B$2:$B$351,$A25,Scorecard!$F$2:$F$351,"Strong")</f>
        <v>0</v>
      </c>
      <c r="D25" s="7" t="n">
        <f aca="false">COUNTIFS(Scorecard!$B$2:$B$351,$A25,Scorecard!$F$2:$F$351,"Present")</f>
        <v>0</v>
      </c>
      <c r="E25" s="7" t="n">
        <f aca="false">COUNTIFS(Scorecard!$B$2:$B$351,$A25,Scorecard!$F$2:$F$351,"Partial")</f>
        <v>5</v>
      </c>
      <c r="F25" s="7" t="n">
        <f aca="false">COUNTIFS(Scorecard!$B$2:$B$351,$A25,Scorecard!$F$2:$F$351,"Mock")</f>
        <v>0</v>
      </c>
      <c r="G25" s="7" t="n">
        <f aca="false">COUNTIFS(Scorecard!$B$2:$B$351,$A25,Scorecard!$F$2:$F$351,"Absent")</f>
        <v>12</v>
      </c>
      <c r="H25" s="7" t="n">
        <f aca="false">C25+D25</f>
        <v>0</v>
      </c>
      <c r="I25" s="8" t="n">
        <f aca="false">IFERROR(H25/B25,0)</f>
        <v>0</v>
      </c>
      <c r="J25" s="8" t="n">
        <f aca="false">IFERROR((C25*1+D25*0.85+E25*0.4+F25*0.05)/B25,0)</f>
        <v>0.117647058823529</v>
      </c>
      <c r="K25" s="7" t="n">
        <f aca="false">COUNTIFS(Scorecard!$B$2:$B$351,$A25,Scorecard!$G$2:$G$351,"P0")</f>
        <v>5</v>
      </c>
      <c r="L25" s="7" t="n">
        <f aca="false">COUNTIFS(Scorecard!$B$2:$B$351,$A25,Scorecard!$G$2:$G$351,"P1")</f>
        <v>2</v>
      </c>
    </row>
    <row r="26" customFormat="false" ht="15" hidden="false" customHeight="false" outlineLevel="0" collapsed="false">
      <c r="A26" s="6" t="s">
        <v>34</v>
      </c>
      <c r="B26" s="7" t="n">
        <f aca="false">COUNTIF(Scorecard!$B$2:$B$351,$A26)</f>
        <v>10</v>
      </c>
      <c r="C26" s="7" t="n">
        <f aca="false">COUNTIFS(Scorecard!$B$2:$B$351,$A26,Scorecard!$F$2:$F$351,"Strong")</f>
        <v>0</v>
      </c>
      <c r="D26" s="7" t="n">
        <f aca="false">COUNTIFS(Scorecard!$B$2:$B$351,$A26,Scorecard!$F$2:$F$351,"Present")</f>
        <v>0</v>
      </c>
      <c r="E26" s="7" t="n">
        <f aca="false">COUNTIFS(Scorecard!$B$2:$B$351,$A26,Scorecard!$F$2:$F$351,"Partial")</f>
        <v>2</v>
      </c>
      <c r="F26" s="7" t="n">
        <f aca="false">COUNTIFS(Scorecard!$B$2:$B$351,$A26,Scorecard!$F$2:$F$351,"Mock")</f>
        <v>0</v>
      </c>
      <c r="G26" s="7" t="n">
        <f aca="false">COUNTIFS(Scorecard!$B$2:$B$351,$A26,Scorecard!$F$2:$F$351,"Absent")</f>
        <v>8</v>
      </c>
      <c r="H26" s="7" t="n">
        <f aca="false">C26+D26</f>
        <v>0</v>
      </c>
      <c r="I26" s="8" t="n">
        <f aca="false">IFERROR(H26/B26,0)</f>
        <v>0</v>
      </c>
      <c r="J26" s="8" t="n">
        <f aca="false">IFERROR((C26*1+D26*0.85+E26*0.4+F26*0.05)/B26,0)</f>
        <v>0.08</v>
      </c>
      <c r="K26" s="7" t="n">
        <f aca="false">COUNTIFS(Scorecard!$B$2:$B$351,$A26,Scorecard!$G$2:$G$351,"P0")</f>
        <v>1</v>
      </c>
      <c r="L26" s="7" t="n">
        <f aca="false">COUNTIFS(Scorecard!$B$2:$B$351,$A26,Scorecard!$G$2:$G$351,"P1")</f>
        <v>2</v>
      </c>
    </row>
    <row r="27" customFormat="false" ht="23.85" hidden="false" customHeight="false" outlineLevel="0" collapsed="false">
      <c r="A27" s="6" t="s">
        <v>35</v>
      </c>
      <c r="B27" s="7" t="n">
        <f aca="false">COUNTIF(Scorecard!$B$2:$B$351,$A27)</f>
        <v>24</v>
      </c>
      <c r="C27" s="7" t="n">
        <f aca="false">COUNTIFS(Scorecard!$B$2:$B$351,$A27,Scorecard!$F$2:$F$351,"Strong")</f>
        <v>1</v>
      </c>
      <c r="D27" s="7" t="n">
        <f aca="false">COUNTIFS(Scorecard!$B$2:$B$351,$A27,Scorecard!$F$2:$F$351,"Present")</f>
        <v>0</v>
      </c>
      <c r="E27" s="7" t="n">
        <f aca="false">COUNTIFS(Scorecard!$B$2:$B$351,$A27,Scorecard!$F$2:$F$351,"Partial")</f>
        <v>3</v>
      </c>
      <c r="F27" s="7" t="n">
        <f aca="false">COUNTIFS(Scorecard!$B$2:$B$351,$A27,Scorecard!$F$2:$F$351,"Mock")</f>
        <v>0</v>
      </c>
      <c r="G27" s="7" t="n">
        <f aca="false">COUNTIFS(Scorecard!$B$2:$B$351,$A27,Scorecard!$F$2:$F$351,"Absent")</f>
        <v>20</v>
      </c>
      <c r="H27" s="7" t="n">
        <f aca="false">C27+D27</f>
        <v>1</v>
      </c>
      <c r="I27" s="8" t="n">
        <f aca="false">IFERROR(H27/B27,0)</f>
        <v>0.0416666666666667</v>
      </c>
      <c r="J27" s="8" t="n">
        <f aca="false">IFERROR((C27*1+D27*0.85+E27*0.4+F27*0.05)/B27,0)</f>
        <v>0.0916666666666667</v>
      </c>
      <c r="K27" s="7" t="n">
        <f aca="false">COUNTIFS(Scorecard!$B$2:$B$351,$A27,Scorecard!$G$2:$G$351,"P0")</f>
        <v>1</v>
      </c>
      <c r="L27" s="7" t="n">
        <f aca="false">COUNTIFS(Scorecard!$B$2:$B$351,$A27,Scorecard!$G$2:$G$351,"P1")</f>
        <v>12</v>
      </c>
    </row>
    <row r="28" customFormat="false" ht="15" hidden="false" customHeight="false" outlineLevel="0" collapsed="false">
      <c r="A28" s="9" t="s">
        <v>36</v>
      </c>
      <c r="B28" s="10" t="n">
        <f aca="false">SUM(B8:B27)</f>
        <v>350</v>
      </c>
      <c r="C28" s="10" t="n">
        <f aca="false">SUM(C8:C27)</f>
        <v>12</v>
      </c>
      <c r="D28" s="10" t="n">
        <f aca="false">SUM(D8:D27)</f>
        <v>17</v>
      </c>
      <c r="E28" s="10" t="n">
        <f aca="false">SUM(E8:E27)</f>
        <v>54</v>
      </c>
      <c r="F28" s="10" t="n">
        <f aca="false">SUM(F8:F27)</f>
        <v>6</v>
      </c>
      <c r="G28" s="10" t="n">
        <f aca="false">SUM(G8:G27)</f>
        <v>261</v>
      </c>
      <c r="H28" s="10" t="n">
        <f aca="false">SUM(H8:H27)</f>
        <v>29</v>
      </c>
      <c r="I28" s="11" t="n">
        <f aca="false">IFERROR(H28/B28,0)</f>
        <v>0.0828571428571429</v>
      </c>
      <c r="J28" s="11" t="n">
        <f aca="false">IFERROR((C28*1+D28*0.85+E28*0.4+F28*0.05)/B28,0)</f>
        <v>0.138142857142857</v>
      </c>
      <c r="K28" s="10" t="n">
        <f aca="false">SUM(K8:K27)</f>
        <v>16</v>
      </c>
      <c r="L28" s="10" t="n">
        <f aca="false">SUM(L8:L27)</f>
        <v>82</v>
      </c>
    </row>
    <row r="31" customFormat="false" ht="16.15" hidden="false" customHeight="false" outlineLevel="0" collapsed="false">
      <c r="A31" s="4" t="s">
        <v>37</v>
      </c>
    </row>
    <row r="32" customFormat="false" ht="30" hidden="false" customHeight="true" outlineLevel="0" collapsed="false">
      <c r="A32" s="5" t="s">
        <v>38</v>
      </c>
      <c r="B32" s="5" t="s">
        <v>39</v>
      </c>
      <c r="C32" s="5" t="s">
        <v>5</v>
      </c>
      <c r="D32" s="5" t="s">
        <v>40</v>
      </c>
      <c r="E32" s="5" t="s">
        <v>12</v>
      </c>
    </row>
    <row r="33" customFormat="false" ht="79.85" hidden="false" customHeight="false" outlineLevel="0" collapsed="false">
      <c r="A33" s="12" t="s">
        <v>41</v>
      </c>
      <c r="B33" s="13" t="s">
        <v>42</v>
      </c>
      <c r="C33" s="14" t="n">
        <f aca="false">COUNTIF(Scorecard!$D$2:$D$351,$A33)</f>
        <v>130</v>
      </c>
      <c r="D33" s="14" t="n">
        <f aca="false">COUNTIFS(Scorecard!$D$2:$D$351,$A33,Scorecard!$F$2:$F$351,"Strong")+COUNTIFS(Scorecard!$D$2:$D$351,$A33,Scorecard!$F$2:$F$351,"Present")</f>
        <v>25</v>
      </c>
      <c r="E33" s="15" t="n">
        <f aca="false">IFERROR(D33/C33,0)</f>
        <v>0.192307692307692</v>
      </c>
    </row>
    <row r="34" customFormat="false" ht="68.65" hidden="false" customHeight="false" outlineLevel="0" collapsed="false">
      <c r="A34" s="12" t="s">
        <v>43</v>
      </c>
      <c r="B34" s="13" t="s">
        <v>44</v>
      </c>
      <c r="C34" s="14" t="n">
        <f aca="false">COUNTIF(Scorecard!$D$2:$D$351,$A34)</f>
        <v>163</v>
      </c>
      <c r="D34" s="14" t="n">
        <f aca="false">COUNTIFS(Scorecard!$D$2:$D$351,$A34,Scorecard!$F$2:$F$351,"Strong")+COUNTIFS(Scorecard!$D$2:$D$351,$A34,Scorecard!$F$2:$F$351,"Present")</f>
        <v>4</v>
      </c>
      <c r="E34" s="15" t="n">
        <f aca="false">IFERROR(D34/C34,0)</f>
        <v>0.0245398773006135</v>
      </c>
    </row>
    <row r="35" customFormat="false" ht="102.2" hidden="false" customHeight="false" outlineLevel="0" collapsed="false">
      <c r="A35" s="12" t="s">
        <v>45</v>
      </c>
      <c r="B35" s="13" t="s">
        <v>46</v>
      </c>
      <c r="C35" s="14" t="n">
        <f aca="false">COUNTIF(Scorecard!$D$2:$D$351,$A35)</f>
        <v>57</v>
      </c>
      <c r="D35" s="14" t="n">
        <f aca="false">COUNTIFS(Scorecard!$D$2:$D$351,$A35,Scorecard!$F$2:$F$351,"Strong")+COUNTIFS(Scorecard!$D$2:$D$351,$A35,Scorecard!$F$2:$F$351,"Present")</f>
        <v>0</v>
      </c>
      <c r="E35" s="15" t="n">
        <f aca="false">IFERROR(D35/C35,0)</f>
        <v>0</v>
      </c>
    </row>
    <row r="38" customFormat="false" ht="16.15" hidden="false" customHeight="false" outlineLevel="0" collapsed="false">
      <c r="A38" s="4" t="s">
        <v>47</v>
      </c>
    </row>
    <row r="39" customFormat="false" ht="30" hidden="false" customHeight="true" outlineLevel="0" collapsed="false">
      <c r="A39" s="5" t="s">
        <v>48</v>
      </c>
      <c r="B39" s="5" t="s">
        <v>39</v>
      </c>
      <c r="C39" s="5" t="s">
        <v>5</v>
      </c>
    </row>
    <row r="40" customFormat="false" ht="102.2" hidden="false" customHeight="false" outlineLevel="0" collapsed="false">
      <c r="A40" s="12" t="s">
        <v>14</v>
      </c>
      <c r="B40" s="13" t="s">
        <v>49</v>
      </c>
      <c r="C40" s="14" t="n">
        <f aca="false">COUNTIF(Scorecard!$G$2:$G$351,$A40)</f>
        <v>16</v>
      </c>
    </row>
    <row r="41" customFormat="false" ht="102.2" hidden="false" customHeight="false" outlineLevel="0" collapsed="false">
      <c r="A41" s="12" t="s">
        <v>15</v>
      </c>
      <c r="B41" s="13" t="s">
        <v>50</v>
      </c>
      <c r="C41" s="14" t="n">
        <f aca="false">COUNTIF(Scorecard!$G$2:$G$351,$A41)</f>
        <v>82</v>
      </c>
    </row>
    <row r="42" customFormat="false" ht="57.45" hidden="false" customHeight="false" outlineLevel="0" collapsed="false">
      <c r="A42" s="12" t="s">
        <v>51</v>
      </c>
      <c r="B42" s="13" t="s">
        <v>52</v>
      </c>
      <c r="C42" s="14" t="n">
        <f aca="false">COUNTIF(Scorecard!$G$2:$G$351,$A42)</f>
        <v>145</v>
      </c>
    </row>
    <row r="43" customFormat="false" ht="46.25" hidden="false" customHeight="false" outlineLevel="0" collapsed="false">
      <c r="A43" s="12" t="s">
        <v>53</v>
      </c>
      <c r="B43" s="13" t="s">
        <v>54</v>
      </c>
      <c r="C43" s="14" t="n">
        <f aca="false">COUNTIF(Scorecard!$G$2:$G$351,$A43)</f>
        <v>107</v>
      </c>
    </row>
    <row r="46" customFormat="false" ht="16.15" hidden="false" customHeight="false" outlineLevel="0" collapsed="false">
      <c r="A46" s="4" t="s">
        <v>55</v>
      </c>
    </row>
    <row r="47" customFormat="false" ht="15" hidden="false" customHeight="false" outlineLevel="0" collapsed="false">
      <c r="A47" s="16" t="s">
        <v>56</v>
      </c>
    </row>
    <row r="48" customFormat="false" ht="15" hidden="false" customHeight="false" outlineLevel="0" collapsed="false">
      <c r="A48" s="16" t="s">
        <v>57</v>
      </c>
    </row>
    <row r="49" customFormat="false" ht="15" hidden="false" customHeight="false" outlineLevel="0" collapsed="false">
      <c r="A49" s="16" t="s">
        <v>58</v>
      </c>
    </row>
    <row r="50" customFormat="false" ht="15" hidden="false" customHeight="false" outlineLevel="0" collapsed="false">
      <c r="A50" s="16" t="s">
        <v>59</v>
      </c>
    </row>
    <row r="51" customFormat="false" ht="15" hidden="false" customHeight="false" outlineLevel="0" collapsed="false">
      <c r="A51" s="16" t="s">
        <v>60</v>
      </c>
    </row>
    <row r="52" customFormat="false" ht="15" hidden="false" customHeight="false" outlineLevel="0" collapsed="false">
      <c r="A52" s="1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20"/>
    <col collapsed="false" customWidth="true" hidden="false" outlineLevel="0" max="9" min="9" style="0" width="66"/>
  </cols>
  <sheetData>
    <row r="1" customFormat="false" ht="30" hidden="false" customHeight="true" outlineLevel="0" collapsed="false">
      <c r="A1" s="5" t="s">
        <v>62</v>
      </c>
      <c r="B1" s="5" t="s">
        <v>4</v>
      </c>
      <c r="C1" s="5" t="s">
        <v>63</v>
      </c>
      <c r="D1" s="5" t="s">
        <v>38</v>
      </c>
      <c r="E1" s="5" t="s">
        <v>64</v>
      </c>
      <c r="F1" s="5" t="s">
        <v>65</v>
      </c>
      <c r="G1" s="5" t="s">
        <v>48</v>
      </c>
      <c r="H1" s="5" t="s">
        <v>66</v>
      </c>
      <c r="I1" s="5" t="s">
        <v>67</v>
      </c>
    </row>
    <row r="2" customFormat="false" ht="15" hidden="false" customHeight="false" outlineLevel="0" collapsed="false">
      <c r="A2" s="12" t="n">
        <v>1</v>
      </c>
      <c r="B2" s="13" t="s">
        <v>16</v>
      </c>
      <c r="C2" s="13" t="s">
        <v>68</v>
      </c>
      <c r="D2" s="17" t="s">
        <v>41</v>
      </c>
      <c r="E2" s="14" t="s">
        <v>69</v>
      </c>
      <c r="F2" s="17" t="s">
        <v>10</v>
      </c>
      <c r="G2" s="17" t="s">
        <v>15</v>
      </c>
      <c r="H2" s="13" t="s">
        <v>70</v>
      </c>
      <c r="I2" s="13" t="s">
        <v>71</v>
      </c>
    </row>
    <row r="3" customFormat="false" ht="15" hidden="false" customHeight="false" outlineLevel="0" collapsed="false">
      <c r="A3" s="12" t="n">
        <v>2</v>
      </c>
      <c r="B3" s="13" t="s">
        <v>16</v>
      </c>
      <c r="C3" s="13" t="s">
        <v>72</v>
      </c>
      <c r="D3" s="17" t="s">
        <v>43</v>
      </c>
      <c r="E3" s="14" t="s">
        <v>69</v>
      </c>
      <c r="F3" s="17" t="s">
        <v>10</v>
      </c>
      <c r="G3" s="17" t="s">
        <v>15</v>
      </c>
      <c r="H3" s="13" t="s">
        <v>70</v>
      </c>
      <c r="I3" s="13" t="s">
        <v>73</v>
      </c>
    </row>
    <row r="4" customFormat="false" ht="15" hidden="false" customHeight="false" outlineLevel="0" collapsed="false">
      <c r="A4" s="12" t="n">
        <v>3</v>
      </c>
      <c r="B4" s="13" t="s">
        <v>16</v>
      </c>
      <c r="C4" s="13" t="s">
        <v>74</v>
      </c>
      <c r="D4" s="17" t="s">
        <v>43</v>
      </c>
      <c r="E4" s="14" t="s">
        <v>69</v>
      </c>
      <c r="F4" s="17" t="s">
        <v>10</v>
      </c>
      <c r="G4" s="17" t="s">
        <v>15</v>
      </c>
      <c r="H4" s="13" t="s">
        <v>75</v>
      </c>
      <c r="I4" s="13" t="s">
        <v>76</v>
      </c>
    </row>
    <row r="5" customFormat="false" ht="23.85" hidden="false" customHeight="false" outlineLevel="0" collapsed="false">
      <c r="A5" s="12" t="n">
        <v>4</v>
      </c>
      <c r="B5" s="13" t="s">
        <v>16</v>
      </c>
      <c r="C5" s="13" t="s">
        <v>77</v>
      </c>
      <c r="D5" s="17" t="s">
        <v>45</v>
      </c>
      <c r="E5" s="14" t="s">
        <v>69</v>
      </c>
      <c r="F5" s="17" t="s">
        <v>8</v>
      </c>
      <c r="G5" s="17" t="s">
        <v>15</v>
      </c>
      <c r="H5" s="13" t="s">
        <v>75</v>
      </c>
      <c r="I5" s="13" t="s">
        <v>78</v>
      </c>
    </row>
    <row r="6" customFormat="false" ht="15" hidden="false" customHeight="false" outlineLevel="0" collapsed="false">
      <c r="A6" s="12" t="n">
        <v>5</v>
      </c>
      <c r="B6" s="13" t="s">
        <v>16</v>
      </c>
      <c r="C6" s="13" t="s">
        <v>79</v>
      </c>
      <c r="D6" s="17" t="s">
        <v>41</v>
      </c>
      <c r="E6" s="14" t="s">
        <v>69</v>
      </c>
      <c r="F6" s="17" t="s">
        <v>10</v>
      </c>
      <c r="G6" s="17" t="s">
        <v>15</v>
      </c>
      <c r="H6" s="13" t="s">
        <v>75</v>
      </c>
      <c r="I6" s="13"/>
    </row>
    <row r="7" customFormat="false" ht="15" hidden="false" customHeight="false" outlineLevel="0" collapsed="false">
      <c r="A7" s="12" t="n">
        <v>6</v>
      </c>
      <c r="B7" s="13" t="s">
        <v>16</v>
      </c>
      <c r="C7" s="13" t="s">
        <v>80</v>
      </c>
      <c r="D7" s="17" t="s">
        <v>43</v>
      </c>
      <c r="E7" s="14" t="s">
        <v>69</v>
      </c>
      <c r="F7" s="17" t="s">
        <v>10</v>
      </c>
      <c r="G7" s="17" t="s">
        <v>15</v>
      </c>
      <c r="H7" s="13" t="s">
        <v>81</v>
      </c>
      <c r="I7" s="13" t="s">
        <v>82</v>
      </c>
    </row>
    <row r="8" customFormat="false" ht="15" hidden="false" customHeight="false" outlineLevel="0" collapsed="false">
      <c r="A8" s="12" t="n">
        <v>7</v>
      </c>
      <c r="B8" s="13" t="s">
        <v>16</v>
      </c>
      <c r="C8" s="13" t="s">
        <v>83</v>
      </c>
      <c r="D8" s="17" t="s">
        <v>43</v>
      </c>
      <c r="E8" s="14" t="s">
        <v>69</v>
      </c>
      <c r="F8" s="17" t="s">
        <v>10</v>
      </c>
      <c r="G8" s="17" t="s">
        <v>15</v>
      </c>
      <c r="H8" s="13" t="s">
        <v>81</v>
      </c>
      <c r="I8" s="13" t="s">
        <v>84</v>
      </c>
    </row>
    <row r="9" customFormat="false" ht="23.85" hidden="false" customHeight="false" outlineLevel="0" collapsed="false">
      <c r="A9" s="12" t="n">
        <v>8</v>
      </c>
      <c r="B9" s="13" t="s">
        <v>16</v>
      </c>
      <c r="C9" s="13" t="s">
        <v>85</v>
      </c>
      <c r="D9" s="17" t="s">
        <v>41</v>
      </c>
      <c r="E9" s="14" t="s">
        <v>69</v>
      </c>
      <c r="F9" s="17" t="s">
        <v>8</v>
      </c>
      <c r="G9" s="17" t="s">
        <v>14</v>
      </c>
      <c r="H9" s="13" t="s">
        <v>86</v>
      </c>
      <c r="I9" s="13" t="s">
        <v>87</v>
      </c>
    </row>
    <row r="10" customFormat="false" ht="15" hidden="false" customHeight="false" outlineLevel="0" collapsed="false">
      <c r="A10" s="12" t="n">
        <v>9</v>
      </c>
      <c r="B10" s="13" t="s">
        <v>16</v>
      </c>
      <c r="C10" s="13" t="s">
        <v>88</v>
      </c>
      <c r="D10" s="17" t="s">
        <v>41</v>
      </c>
      <c r="E10" s="14" t="s">
        <v>69</v>
      </c>
      <c r="F10" s="17" t="s">
        <v>8</v>
      </c>
      <c r="G10" s="17" t="s">
        <v>51</v>
      </c>
      <c r="H10" s="13" t="s">
        <v>75</v>
      </c>
      <c r="I10" s="13" t="s">
        <v>89</v>
      </c>
    </row>
    <row r="11" customFormat="false" ht="15" hidden="false" customHeight="false" outlineLevel="0" collapsed="false">
      <c r="A11" s="12" t="n">
        <v>10</v>
      </c>
      <c r="B11" s="13" t="s">
        <v>16</v>
      </c>
      <c r="C11" s="13" t="s">
        <v>90</v>
      </c>
      <c r="D11" s="17" t="s">
        <v>43</v>
      </c>
      <c r="E11" s="14" t="s">
        <v>69</v>
      </c>
      <c r="F11" s="17" t="s">
        <v>8</v>
      </c>
      <c r="G11" s="17" t="s">
        <v>15</v>
      </c>
      <c r="H11" s="13" t="s">
        <v>75</v>
      </c>
      <c r="I11" s="13" t="s">
        <v>91</v>
      </c>
    </row>
    <row r="12" customFormat="false" ht="23.85" hidden="false" customHeight="false" outlineLevel="0" collapsed="false">
      <c r="A12" s="12" t="n">
        <v>11</v>
      </c>
      <c r="B12" s="13" t="s">
        <v>16</v>
      </c>
      <c r="C12" s="13" t="s">
        <v>92</v>
      </c>
      <c r="D12" s="17" t="s">
        <v>41</v>
      </c>
      <c r="E12" s="14" t="s">
        <v>69</v>
      </c>
      <c r="F12" s="17" t="s">
        <v>8</v>
      </c>
      <c r="G12" s="17" t="s">
        <v>14</v>
      </c>
      <c r="H12" s="13" t="s">
        <v>93</v>
      </c>
      <c r="I12" s="13" t="s">
        <v>94</v>
      </c>
    </row>
    <row r="13" customFormat="false" ht="15" hidden="false" customHeight="false" outlineLevel="0" collapsed="false">
      <c r="A13" s="12" t="n">
        <v>12</v>
      </c>
      <c r="B13" s="13" t="s">
        <v>16</v>
      </c>
      <c r="C13" s="13" t="s">
        <v>95</v>
      </c>
      <c r="D13" s="17" t="s">
        <v>43</v>
      </c>
      <c r="E13" s="14" t="s">
        <v>69</v>
      </c>
      <c r="F13" s="17" t="s">
        <v>10</v>
      </c>
      <c r="G13" s="17" t="s">
        <v>15</v>
      </c>
      <c r="H13" s="13" t="s">
        <v>96</v>
      </c>
      <c r="I13" s="13"/>
    </row>
    <row r="14" customFormat="false" ht="15" hidden="false" customHeight="false" outlineLevel="0" collapsed="false">
      <c r="A14" s="12" t="n">
        <v>13</v>
      </c>
      <c r="B14" s="13" t="s">
        <v>16</v>
      </c>
      <c r="C14" s="13" t="s">
        <v>97</v>
      </c>
      <c r="D14" s="17" t="s">
        <v>41</v>
      </c>
      <c r="E14" s="14" t="s">
        <v>69</v>
      </c>
      <c r="F14" s="17" t="s">
        <v>10</v>
      </c>
      <c r="G14" s="17" t="s">
        <v>15</v>
      </c>
      <c r="H14" s="13" t="s">
        <v>75</v>
      </c>
      <c r="I14" s="13" t="s">
        <v>98</v>
      </c>
    </row>
    <row r="15" customFormat="false" ht="15" hidden="false" customHeight="false" outlineLevel="0" collapsed="false">
      <c r="A15" s="12" t="n">
        <v>14</v>
      </c>
      <c r="B15" s="13" t="s">
        <v>16</v>
      </c>
      <c r="C15" s="13" t="s">
        <v>99</v>
      </c>
      <c r="D15" s="17" t="s">
        <v>43</v>
      </c>
      <c r="E15" s="14" t="s">
        <v>69</v>
      </c>
      <c r="F15" s="17" t="s">
        <v>10</v>
      </c>
      <c r="G15" s="17" t="s">
        <v>15</v>
      </c>
      <c r="H15" s="13" t="s">
        <v>100</v>
      </c>
      <c r="I15" s="13" t="s">
        <v>101</v>
      </c>
    </row>
    <row r="16" customFormat="false" ht="23.85" hidden="false" customHeight="false" outlineLevel="0" collapsed="false">
      <c r="A16" s="12" t="n">
        <v>15</v>
      </c>
      <c r="B16" s="13" t="s">
        <v>16</v>
      </c>
      <c r="C16" s="13" t="s">
        <v>102</v>
      </c>
      <c r="D16" s="17" t="s">
        <v>43</v>
      </c>
      <c r="E16" s="14" t="s">
        <v>103</v>
      </c>
      <c r="F16" s="17" t="s">
        <v>10</v>
      </c>
      <c r="G16" s="17" t="s">
        <v>51</v>
      </c>
      <c r="H16" s="13" t="s">
        <v>96</v>
      </c>
      <c r="I16" s="13" t="s">
        <v>104</v>
      </c>
    </row>
    <row r="17" customFormat="false" ht="23.85" hidden="false" customHeight="false" outlineLevel="0" collapsed="false">
      <c r="A17" s="12" t="n">
        <v>16</v>
      </c>
      <c r="B17" s="13" t="s">
        <v>16</v>
      </c>
      <c r="C17" s="13" t="s">
        <v>105</v>
      </c>
      <c r="D17" s="17" t="s">
        <v>41</v>
      </c>
      <c r="E17" s="14" t="s">
        <v>69</v>
      </c>
      <c r="F17" s="17" t="s">
        <v>8</v>
      </c>
      <c r="G17" s="17" t="s">
        <v>15</v>
      </c>
      <c r="H17" s="13" t="s">
        <v>106</v>
      </c>
      <c r="I17" s="13" t="s">
        <v>107</v>
      </c>
    </row>
    <row r="18" customFormat="false" ht="15" hidden="false" customHeight="false" outlineLevel="0" collapsed="false">
      <c r="A18" s="12" t="n">
        <v>17</v>
      </c>
      <c r="B18" s="13" t="s">
        <v>16</v>
      </c>
      <c r="C18" s="13" t="s">
        <v>108</v>
      </c>
      <c r="D18" s="17" t="s">
        <v>43</v>
      </c>
      <c r="E18" s="14" t="s">
        <v>69</v>
      </c>
      <c r="F18" s="17" t="s">
        <v>10</v>
      </c>
      <c r="G18" s="17" t="s">
        <v>51</v>
      </c>
      <c r="H18" s="13" t="s">
        <v>109</v>
      </c>
      <c r="I18" s="13" t="s">
        <v>110</v>
      </c>
    </row>
    <row r="19" customFormat="false" ht="15" hidden="false" customHeight="false" outlineLevel="0" collapsed="false">
      <c r="A19" s="12" t="n">
        <v>18</v>
      </c>
      <c r="B19" s="13" t="s">
        <v>16</v>
      </c>
      <c r="C19" s="13" t="s">
        <v>111</v>
      </c>
      <c r="D19" s="17" t="s">
        <v>45</v>
      </c>
      <c r="E19" s="14" t="s">
        <v>112</v>
      </c>
      <c r="F19" s="17" t="s">
        <v>10</v>
      </c>
      <c r="G19" s="17" t="s">
        <v>53</v>
      </c>
      <c r="H19" s="13" t="s">
        <v>113</v>
      </c>
      <c r="I19" s="13"/>
    </row>
    <row r="20" customFormat="false" ht="15" hidden="false" customHeight="false" outlineLevel="0" collapsed="false">
      <c r="A20" s="12" t="n">
        <v>19</v>
      </c>
      <c r="B20" s="13" t="s">
        <v>16</v>
      </c>
      <c r="C20" s="13" t="s">
        <v>114</v>
      </c>
      <c r="D20" s="17" t="s">
        <v>41</v>
      </c>
      <c r="E20" s="14" t="s">
        <v>69</v>
      </c>
      <c r="F20" s="17" t="s">
        <v>10</v>
      </c>
      <c r="G20" s="17" t="s">
        <v>51</v>
      </c>
      <c r="H20" s="13" t="s">
        <v>115</v>
      </c>
      <c r="I20" s="13" t="s">
        <v>116</v>
      </c>
    </row>
    <row r="21" customFormat="false" ht="15" hidden="false" customHeight="false" outlineLevel="0" collapsed="false">
      <c r="A21" s="12" t="n">
        <v>20</v>
      </c>
      <c r="B21" s="13" t="s">
        <v>16</v>
      </c>
      <c r="C21" s="13" t="s">
        <v>117</v>
      </c>
      <c r="D21" s="17" t="s">
        <v>43</v>
      </c>
      <c r="E21" s="14" t="s">
        <v>103</v>
      </c>
      <c r="F21" s="17" t="s">
        <v>10</v>
      </c>
      <c r="G21" s="17" t="s">
        <v>51</v>
      </c>
      <c r="H21" s="13" t="s">
        <v>118</v>
      </c>
      <c r="I21" s="13"/>
    </row>
    <row r="22" customFormat="false" ht="15" hidden="false" customHeight="false" outlineLevel="0" collapsed="false">
      <c r="A22" s="12" t="n">
        <v>21</v>
      </c>
      <c r="B22" s="13" t="s">
        <v>16</v>
      </c>
      <c r="C22" s="13" t="s">
        <v>119</v>
      </c>
      <c r="D22" s="17" t="s">
        <v>41</v>
      </c>
      <c r="E22" s="14" t="s">
        <v>69</v>
      </c>
      <c r="F22" s="17" t="s">
        <v>10</v>
      </c>
      <c r="G22" s="17" t="s">
        <v>51</v>
      </c>
      <c r="H22" s="13" t="s">
        <v>118</v>
      </c>
      <c r="I22" s="13" t="s">
        <v>120</v>
      </c>
    </row>
    <row r="23" customFormat="false" ht="15" hidden="false" customHeight="false" outlineLevel="0" collapsed="false">
      <c r="A23" s="12" t="n">
        <v>22</v>
      </c>
      <c r="B23" s="13" t="s">
        <v>16</v>
      </c>
      <c r="C23" s="13" t="s">
        <v>121</v>
      </c>
      <c r="D23" s="17" t="s">
        <v>43</v>
      </c>
      <c r="E23" s="14" t="s">
        <v>103</v>
      </c>
      <c r="F23" s="17" t="s">
        <v>10</v>
      </c>
      <c r="G23" s="17" t="s">
        <v>51</v>
      </c>
      <c r="H23" s="13" t="s">
        <v>122</v>
      </c>
      <c r="I23" s="13" t="s">
        <v>123</v>
      </c>
    </row>
    <row r="24" customFormat="false" ht="15" hidden="false" customHeight="false" outlineLevel="0" collapsed="false">
      <c r="A24" s="12" t="n">
        <v>23</v>
      </c>
      <c r="B24" s="13" t="s">
        <v>16</v>
      </c>
      <c r="C24" s="13" t="s">
        <v>124</v>
      </c>
      <c r="D24" s="17" t="s">
        <v>45</v>
      </c>
      <c r="E24" s="14" t="s">
        <v>112</v>
      </c>
      <c r="F24" s="17" t="s">
        <v>10</v>
      </c>
      <c r="G24" s="17" t="s">
        <v>53</v>
      </c>
      <c r="H24" s="13" t="s">
        <v>96</v>
      </c>
      <c r="I24" s="13"/>
    </row>
    <row r="25" customFormat="false" ht="15" hidden="false" customHeight="false" outlineLevel="0" collapsed="false">
      <c r="A25" s="12" t="n">
        <v>24</v>
      </c>
      <c r="B25" s="13" t="s">
        <v>16</v>
      </c>
      <c r="C25" s="13" t="s">
        <v>125</v>
      </c>
      <c r="D25" s="17" t="s">
        <v>45</v>
      </c>
      <c r="E25" s="14" t="s">
        <v>112</v>
      </c>
      <c r="F25" s="17" t="s">
        <v>8</v>
      </c>
      <c r="G25" s="17" t="s">
        <v>53</v>
      </c>
      <c r="H25" s="13" t="s">
        <v>75</v>
      </c>
      <c r="I25" s="13" t="s">
        <v>126</v>
      </c>
    </row>
    <row r="26" customFormat="false" ht="15" hidden="false" customHeight="false" outlineLevel="0" collapsed="false">
      <c r="A26" s="12" t="n">
        <v>25</v>
      </c>
      <c r="B26" s="13" t="s">
        <v>17</v>
      </c>
      <c r="C26" s="13" t="s">
        <v>127</v>
      </c>
      <c r="D26" s="17" t="s">
        <v>41</v>
      </c>
      <c r="E26" s="14" t="s">
        <v>69</v>
      </c>
      <c r="F26" s="17" t="s">
        <v>7</v>
      </c>
      <c r="G26" s="17" t="s">
        <v>15</v>
      </c>
      <c r="H26" s="13" t="s">
        <v>96</v>
      </c>
      <c r="I26" s="13" t="s">
        <v>128</v>
      </c>
    </row>
    <row r="27" customFormat="false" ht="23.85" hidden="false" customHeight="false" outlineLevel="0" collapsed="false">
      <c r="A27" s="12" t="n">
        <v>26</v>
      </c>
      <c r="B27" s="13" t="s">
        <v>17</v>
      </c>
      <c r="C27" s="13" t="s">
        <v>129</v>
      </c>
      <c r="D27" s="17" t="s">
        <v>41</v>
      </c>
      <c r="E27" s="14" t="s">
        <v>69</v>
      </c>
      <c r="F27" s="17" t="s">
        <v>7</v>
      </c>
      <c r="G27" s="17" t="s">
        <v>15</v>
      </c>
      <c r="H27" s="13" t="s">
        <v>130</v>
      </c>
      <c r="I27" s="13" t="s">
        <v>131</v>
      </c>
    </row>
    <row r="28" customFormat="false" ht="23.85" hidden="false" customHeight="false" outlineLevel="0" collapsed="false">
      <c r="A28" s="12" t="n">
        <v>27</v>
      </c>
      <c r="B28" s="13" t="s">
        <v>17</v>
      </c>
      <c r="C28" s="13" t="s">
        <v>132</v>
      </c>
      <c r="D28" s="17" t="s">
        <v>43</v>
      </c>
      <c r="E28" s="14" t="s">
        <v>69</v>
      </c>
      <c r="F28" s="17" t="s">
        <v>10</v>
      </c>
      <c r="G28" s="17" t="s">
        <v>15</v>
      </c>
      <c r="H28" s="13" t="s">
        <v>130</v>
      </c>
      <c r="I28" s="13" t="s">
        <v>133</v>
      </c>
    </row>
    <row r="29" customFormat="false" ht="15" hidden="false" customHeight="false" outlineLevel="0" collapsed="false">
      <c r="A29" s="12" t="n">
        <v>28</v>
      </c>
      <c r="B29" s="13" t="s">
        <v>17</v>
      </c>
      <c r="C29" s="13" t="s">
        <v>134</v>
      </c>
      <c r="D29" s="17" t="s">
        <v>41</v>
      </c>
      <c r="E29" s="14" t="s">
        <v>69</v>
      </c>
      <c r="F29" s="17" t="s">
        <v>6</v>
      </c>
      <c r="G29" s="17" t="s">
        <v>53</v>
      </c>
      <c r="H29" s="13" t="s">
        <v>135</v>
      </c>
      <c r="I29" s="13" t="s">
        <v>136</v>
      </c>
    </row>
    <row r="30" customFormat="false" ht="15" hidden="false" customHeight="false" outlineLevel="0" collapsed="false">
      <c r="A30" s="12" t="n">
        <v>29</v>
      </c>
      <c r="B30" s="13" t="s">
        <v>17</v>
      </c>
      <c r="C30" s="13" t="s">
        <v>137</v>
      </c>
      <c r="D30" s="17" t="s">
        <v>41</v>
      </c>
      <c r="E30" s="14" t="s">
        <v>69</v>
      </c>
      <c r="F30" s="17" t="s">
        <v>7</v>
      </c>
      <c r="G30" s="17" t="s">
        <v>53</v>
      </c>
      <c r="H30" s="13" t="s">
        <v>135</v>
      </c>
      <c r="I30" s="13" t="s">
        <v>138</v>
      </c>
    </row>
    <row r="31" customFormat="false" ht="15" hidden="false" customHeight="false" outlineLevel="0" collapsed="false">
      <c r="A31" s="12" t="n">
        <v>30</v>
      </c>
      <c r="B31" s="13" t="s">
        <v>17</v>
      </c>
      <c r="C31" s="13" t="s">
        <v>139</v>
      </c>
      <c r="D31" s="17" t="s">
        <v>41</v>
      </c>
      <c r="E31" s="14" t="s">
        <v>69</v>
      </c>
      <c r="F31" s="17" t="s">
        <v>10</v>
      </c>
      <c r="G31" s="17" t="s">
        <v>15</v>
      </c>
      <c r="H31" s="13" t="s">
        <v>130</v>
      </c>
      <c r="I31" s="13" t="s">
        <v>140</v>
      </c>
    </row>
    <row r="32" customFormat="false" ht="15" hidden="false" customHeight="false" outlineLevel="0" collapsed="false">
      <c r="A32" s="12" t="n">
        <v>31</v>
      </c>
      <c r="B32" s="13" t="s">
        <v>17</v>
      </c>
      <c r="C32" s="13" t="s">
        <v>141</v>
      </c>
      <c r="D32" s="17" t="s">
        <v>43</v>
      </c>
      <c r="E32" s="14" t="s">
        <v>69</v>
      </c>
      <c r="F32" s="17" t="s">
        <v>10</v>
      </c>
      <c r="G32" s="17" t="s">
        <v>15</v>
      </c>
      <c r="H32" s="13" t="s">
        <v>130</v>
      </c>
      <c r="I32" s="13" t="s">
        <v>142</v>
      </c>
    </row>
    <row r="33" customFormat="false" ht="23.85" hidden="false" customHeight="false" outlineLevel="0" collapsed="false">
      <c r="A33" s="12" t="n">
        <v>32</v>
      </c>
      <c r="B33" s="13" t="s">
        <v>17</v>
      </c>
      <c r="C33" s="13" t="s">
        <v>143</v>
      </c>
      <c r="D33" s="17" t="s">
        <v>41</v>
      </c>
      <c r="E33" s="14" t="s">
        <v>69</v>
      </c>
      <c r="F33" s="17" t="s">
        <v>8</v>
      </c>
      <c r="G33" s="17" t="s">
        <v>15</v>
      </c>
      <c r="H33" s="13" t="s">
        <v>130</v>
      </c>
      <c r="I33" s="13" t="s">
        <v>144</v>
      </c>
    </row>
    <row r="34" customFormat="false" ht="15" hidden="false" customHeight="false" outlineLevel="0" collapsed="false">
      <c r="A34" s="12" t="n">
        <v>33</v>
      </c>
      <c r="B34" s="13" t="s">
        <v>17</v>
      </c>
      <c r="C34" s="13" t="s">
        <v>145</v>
      </c>
      <c r="D34" s="17" t="s">
        <v>43</v>
      </c>
      <c r="E34" s="14" t="s">
        <v>103</v>
      </c>
      <c r="F34" s="17" t="s">
        <v>8</v>
      </c>
      <c r="G34" s="17" t="s">
        <v>51</v>
      </c>
      <c r="H34" s="13" t="s">
        <v>130</v>
      </c>
      <c r="I34" s="13" t="s">
        <v>146</v>
      </c>
    </row>
    <row r="35" customFormat="false" ht="15" hidden="false" customHeight="false" outlineLevel="0" collapsed="false">
      <c r="A35" s="12" t="n">
        <v>34</v>
      </c>
      <c r="B35" s="13" t="s">
        <v>17</v>
      </c>
      <c r="C35" s="13" t="s">
        <v>147</v>
      </c>
      <c r="D35" s="17" t="s">
        <v>41</v>
      </c>
      <c r="E35" s="14" t="s">
        <v>69</v>
      </c>
      <c r="F35" s="17" t="s">
        <v>9</v>
      </c>
      <c r="G35" s="17" t="s">
        <v>15</v>
      </c>
      <c r="H35" s="13" t="s">
        <v>148</v>
      </c>
      <c r="I35" s="13" t="s">
        <v>149</v>
      </c>
    </row>
    <row r="36" customFormat="false" ht="15" hidden="false" customHeight="false" outlineLevel="0" collapsed="false">
      <c r="A36" s="12" t="n">
        <v>35</v>
      </c>
      <c r="B36" s="13" t="s">
        <v>17</v>
      </c>
      <c r="C36" s="13" t="s">
        <v>150</v>
      </c>
      <c r="D36" s="17" t="s">
        <v>41</v>
      </c>
      <c r="E36" s="14" t="s">
        <v>69</v>
      </c>
      <c r="F36" s="17" t="s">
        <v>10</v>
      </c>
      <c r="G36" s="17" t="s">
        <v>15</v>
      </c>
      <c r="H36" s="13" t="s">
        <v>96</v>
      </c>
      <c r="I36" s="13" t="s">
        <v>151</v>
      </c>
    </row>
    <row r="37" customFormat="false" ht="15" hidden="false" customHeight="false" outlineLevel="0" collapsed="false">
      <c r="A37" s="12" t="n">
        <v>36</v>
      </c>
      <c r="B37" s="13" t="s">
        <v>17</v>
      </c>
      <c r="C37" s="13" t="s">
        <v>152</v>
      </c>
      <c r="D37" s="17" t="s">
        <v>41</v>
      </c>
      <c r="E37" s="14" t="s">
        <v>69</v>
      </c>
      <c r="F37" s="17" t="s">
        <v>7</v>
      </c>
      <c r="G37" s="17" t="s">
        <v>51</v>
      </c>
      <c r="H37" s="13" t="s">
        <v>96</v>
      </c>
      <c r="I37" s="13" t="s">
        <v>153</v>
      </c>
    </row>
    <row r="38" customFormat="false" ht="15" hidden="false" customHeight="false" outlineLevel="0" collapsed="false">
      <c r="A38" s="12" t="n">
        <v>37</v>
      </c>
      <c r="B38" s="13" t="s">
        <v>17</v>
      </c>
      <c r="C38" s="13" t="s">
        <v>154</v>
      </c>
      <c r="D38" s="17" t="s">
        <v>43</v>
      </c>
      <c r="E38" s="14" t="s">
        <v>103</v>
      </c>
      <c r="F38" s="17" t="s">
        <v>10</v>
      </c>
      <c r="G38" s="17" t="s">
        <v>51</v>
      </c>
      <c r="H38" s="13" t="s">
        <v>96</v>
      </c>
      <c r="I38" s="13"/>
    </row>
    <row r="39" customFormat="false" ht="15" hidden="false" customHeight="false" outlineLevel="0" collapsed="false">
      <c r="A39" s="12" t="n">
        <v>38</v>
      </c>
      <c r="B39" s="13" t="s">
        <v>17</v>
      </c>
      <c r="C39" s="13" t="s">
        <v>155</v>
      </c>
      <c r="D39" s="17" t="s">
        <v>41</v>
      </c>
      <c r="E39" s="14" t="s">
        <v>69</v>
      </c>
      <c r="F39" s="17" t="s">
        <v>8</v>
      </c>
      <c r="G39" s="17" t="s">
        <v>15</v>
      </c>
      <c r="H39" s="13" t="s">
        <v>130</v>
      </c>
      <c r="I39" s="13" t="s">
        <v>156</v>
      </c>
    </row>
    <row r="40" customFormat="false" ht="23.85" hidden="false" customHeight="false" outlineLevel="0" collapsed="false">
      <c r="A40" s="12" t="n">
        <v>39</v>
      </c>
      <c r="B40" s="13" t="s">
        <v>17</v>
      </c>
      <c r="C40" s="13" t="s">
        <v>157</v>
      </c>
      <c r="D40" s="17" t="s">
        <v>43</v>
      </c>
      <c r="E40" s="14" t="s">
        <v>69</v>
      </c>
      <c r="F40" s="17" t="s">
        <v>8</v>
      </c>
      <c r="G40" s="17" t="s">
        <v>15</v>
      </c>
      <c r="H40" s="13" t="s">
        <v>130</v>
      </c>
      <c r="I40" s="13" t="s">
        <v>158</v>
      </c>
    </row>
    <row r="41" customFormat="false" ht="15" hidden="false" customHeight="false" outlineLevel="0" collapsed="false">
      <c r="A41" s="12" t="n">
        <v>40</v>
      </c>
      <c r="B41" s="13" t="s">
        <v>17</v>
      </c>
      <c r="C41" s="13" t="s">
        <v>159</v>
      </c>
      <c r="D41" s="17" t="s">
        <v>45</v>
      </c>
      <c r="E41" s="14" t="s">
        <v>112</v>
      </c>
      <c r="F41" s="17" t="s">
        <v>10</v>
      </c>
      <c r="G41" s="17" t="s">
        <v>51</v>
      </c>
      <c r="H41" s="13" t="s">
        <v>160</v>
      </c>
      <c r="I41" s="13" t="s">
        <v>161</v>
      </c>
    </row>
    <row r="42" customFormat="false" ht="15" hidden="false" customHeight="false" outlineLevel="0" collapsed="false">
      <c r="A42" s="12" t="n">
        <v>41</v>
      </c>
      <c r="B42" s="13" t="s">
        <v>17</v>
      </c>
      <c r="C42" s="13" t="s">
        <v>162</v>
      </c>
      <c r="D42" s="17" t="s">
        <v>43</v>
      </c>
      <c r="E42" s="14" t="s">
        <v>103</v>
      </c>
      <c r="F42" s="17" t="s">
        <v>10</v>
      </c>
      <c r="G42" s="17" t="s">
        <v>15</v>
      </c>
      <c r="H42" s="13" t="s">
        <v>130</v>
      </c>
      <c r="I42" s="13" t="s">
        <v>163</v>
      </c>
    </row>
    <row r="43" customFormat="false" ht="15" hidden="false" customHeight="false" outlineLevel="0" collapsed="false">
      <c r="A43" s="12" t="n">
        <v>42</v>
      </c>
      <c r="B43" s="13" t="s">
        <v>17</v>
      </c>
      <c r="C43" s="13" t="s">
        <v>164</v>
      </c>
      <c r="D43" s="17" t="s">
        <v>43</v>
      </c>
      <c r="E43" s="14" t="s">
        <v>69</v>
      </c>
      <c r="F43" s="17" t="s">
        <v>8</v>
      </c>
      <c r="G43" s="17" t="s">
        <v>51</v>
      </c>
      <c r="H43" s="13" t="s">
        <v>75</v>
      </c>
      <c r="I43" s="13" t="s">
        <v>165</v>
      </c>
    </row>
    <row r="44" customFormat="false" ht="15" hidden="false" customHeight="false" outlineLevel="0" collapsed="false">
      <c r="A44" s="12" t="n">
        <v>43</v>
      </c>
      <c r="B44" s="13" t="s">
        <v>17</v>
      </c>
      <c r="C44" s="13" t="s">
        <v>166</v>
      </c>
      <c r="D44" s="17" t="s">
        <v>45</v>
      </c>
      <c r="E44" s="14" t="s">
        <v>112</v>
      </c>
      <c r="F44" s="17" t="s">
        <v>10</v>
      </c>
      <c r="G44" s="17" t="s">
        <v>53</v>
      </c>
      <c r="H44" s="13" t="s">
        <v>167</v>
      </c>
      <c r="I44" s="13"/>
    </row>
    <row r="45" customFormat="false" ht="15" hidden="false" customHeight="false" outlineLevel="0" collapsed="false">
      <c r="A45" s="12" t="n">
        <v>44</v>
      </c>
      <c r="B45" s="13" t="s">
        <v>17</v>
      </c>
      <c r="C45" s="13" t="s">
        <v>168</v>
      </c>
      <c r="D45" s="17" t="s">
        <v>41</v>
      </c>
      <c r="E45" s="14" t="s">
        <v>69</v>
      </c>
      <c r="F45" s="17" t="s">
        <v>10</v>
      </c>
      <c r="G45" s="17" t="s">
        <v>15</v>
      </c>
      <c r="H45" s="13" t="s">
        <v>130</v>
      </c>
      <c r="I45" s="13" t="s">
        <v>169</v>
      </c>
    </row>
    <row r="46" customFormat="false" ht="15" hidden="false" customHeight="false" outlineLevel="0" collapsed="false">
      <c r="A46" s="12" t="n">
        <v>45</v>
      </c>
      <c r="B46" s="13" t="s">
        <v>18</v>
      </c>
      <c r="C46" s="13" t="s">
        <v>170</v>
      </c>
      <c r="D46" s="17" t="s">
        <v>41</v>
      </c>
      <c r="E46" s="14" t="s">
        <v>69</v>
      </c>
      <c r="F46" s="17" t="s">
        <v>7</v>
      </c>
      <c r="G46" s="17" t="s">
        <v>51</v>
      </c>
      <c r="H46" s="13" t="s">
        <v>135</v>
      </c>
      <c r="I46" s="13" t="s">
        <v>171</v>
      </c>
    </row>
    <row r="47" customFormat="false" ht="15" hidden="false" customHeight="false" outlineLevel="0" collapsed="false">
      <c r="A47" s="12" t="n">
        <v>46</v>
      </c>
      <c r="B47" s="13" t="s">
        <v>18</v>
      </c>
      <c r="C47" s="13" t="s">
        <v>172</v>
      </c>
      <c r="D47" s="17" t="s">
        <v>41</v>
      </c>
      <c r="E47" s="14" t="s">
        <v>69</v>
      </c>
      <c r="F47" s="17" t="s">
        <v>8</v>
      </c>
      <c r="G47" s="17" t="s">
        <v>14</v>
      </c>
      <c r="H47" s="13" t="s">
        <v>173</v>
      </c>
      <c r="I47" s="13" t="s">
        <v>174</v>
      </c>
    </row>
    <row r="48" customFormat="false" ht="15" hidden="false" customHeight="false" outlineLevel="0" collapsed="false">
      <c r="A48" s="12" t="n">
        <v>47</v>
      </c>
      <c r="B48" s="13" t="s">
        <v>18</v>
      </c>
      <c r="C48" s="13" t="s">
        <v>175</v>
      </c>
      <c r="D48" s="17" t="s">
        <v>43</v>
      </c>
      <c r="E48" s="14" t="s">
        <v>69</v>
      </c>
      <c r="F48" s="17" t="s">
        <v>10</v>
      </c>
      <c r="G48" s="17" t="s">
        <v>15</v>
      </c>
      <c r="H48" s="13" t="s">
        <v>176</v>
      </c>
      <c r="I48" s="13" t="s">
        <v>177</v>
      </c>
    </row>
    <row r="49" customFormat="false" ht="15" hidden="false" customHeight="false" outlineLevel="0" collapsed="false">
      <c r="A49" s="12" t="n">
        <v>48</v>
      </c>
      <c r="B49" s="13" t="s">
        <v>18</v>
      </c>
      <c r="C49" s="13" t="s">
        <v>178</v>
      </c>
      <c r="D49" s="17" t="s">
        <v>43</v>
      </c>
      <c r="E49" s="14" t="s">
        <v>69</v>
      </c>
      <c r="F49" s="17" t="s">
        <v>10</v>
      </c>
      <c r="G49" s="17" t="s">
        <v>15</v>
      </c>
      <c r="H49" s="13" t="s">
        <v>176</v>
      </c>
      <c r="I49" s="13"/>
    </row>
    <row r="50" customFormat="false" ht="23.85" hidden="false" customHeight="false" outlineLevel="0" collapsed="false">
      <c r="A50" s="12" t="n">
        <v>49</v>
      </c>
      <c r="B50" s="13" t="s">
        <v>18</v>
      </c>
      <c r="C50" s="13" t="s">
        <v>179</v>
      </c>
      <c r="D50" s="17" t="s">
        <v>41</v>
      </c>
      <c r="E50" s="14" t="s">
        <v>69</v>
      </c>
      <c r="F50" s="17" t="s">
        <v>8</v>
      </c>
      <c r="G50" s="17" t="s">
        <v>15</v>
      </c>
      <c r="H50" s="13" t="s">
        <v>176</v>
      </c>
      <c r="I50" s="13" t="s">
        <v>180</v>
      </c>
    </row>
    <row r="51" customFormat="false" ht="15" hidden="false" customHeight="false" outlineLevel="0" collapsed="false">
      <c r="A51" s="12" t="n">
        <v>50</v>
      </c>
      <c r="B51" s="13" t="s">
        <v>18</v>
      </c>
      <c r="C51" s="13" t="s">
        <v>181</v>
      </c>
      <c r="D51" s="17" t="s">
        <v>41</v>
      </c>
      <c r="E51" s="14" t="s">
        <v>69</v>
      </c>
      <c r="F51" s="17" t="s">
        <v>8</v>
      </c>
      <c r="G51" s="17" t="s">
        <v>15</v>
      </c>
      <c r="H51" s="13" t="s">
        <v>182</v>
      </c>
      <c r="I51" s="13" t="s">
        <v>183</v>
      </c>
    </row>
    <row r="52" customFormat="false" ht="15" hidden="false" customHeight="false" outlineLevel="0" collapsed="false">
      <c r="A52" s="12" t="n">
        <v>51</v>
      </c>
      <c r="B52" s="13" t="s">
        <v>18</v>
      </c>
      <c r="C52" s="13" t="s">
        <v>184</v>
      </c>
      <c r="D52" s="17" t="s">
        <v>43</v>
      </c>
      <c r="E52" s="14" t="s">
        <v>69</v>
      </c>
      <c r="F52" s="17" t="s">
        <v>10</v>
      </c>
      <c r="G52" s="17" t="s">
        <v>15</v>
      </c>
      <c r="H52" s="13" t="s">
        <v>185</v>
      </c>
      <c r="I52" s="13"/>
    </row>
    <row r="53" customFormat="false" ht="15" hidden="false" customHeight="false" outlineLevel="0" collapsed="false">
      <c r="A53" s="12" t="n">
        <v>52</v>
      </c>
      <c r="B53" s="13" t="s">
        <v>18</v>
      </c>
      <c r="C53" s="13" t="s">
        <v>186</v>
      </c>
      <c r="D53" s="17" t="s">
        <v>43</v>
      </c>
      <c r="E53" s="14" t="s">
        <v>103</v>
      </c>
      <c r="F53" s="17" t="s">
        <v>8</v>
      </c>
      <c r="G53" s="17" t="s">
        <v>51</v>
      </c>
      <c r="H53" s="13" t="s">
        <v>176</v>
      </c>
      <c r="I53" s="13" t="s">
        <v>187</v>
      </c>
    </row>
    <row r="54" customFormat="false" ht="15" hidden="false" customHeight="false" outlineLevel="0" collapsed="false">
      <c r="A54" s="12" t="n">
        <v>53</v>
      </c>
      <c r="B54" s="13" t="s">
        <v>18</v>
      </c>
      <c r="C54" s="13" t="s">
        <v>188</v>
      </c>
      <c r="D54" s="17" t="s">
        <v>43</v>
      </c>
      <c r="E54" s="14" t="s">
        <v>103</v>
      </c>
      <c r="F54" s="17" t="s">
        <v>10</v>
      </c>
      <c r="G54" s="17" t="s">
        <v>51</v>
      </c>
      <c r="H54" s="13" t="s">
        <v>176</v>
      </c>
      <c r="I54" s="13"/>
    </row>
    <row r="55" customFormat="false" ht="15" hidden="false" customHeight="false" outlineLevel="0" collapsed="false">
      <c r="A55" s="12" t="n">
        <v>54</v>
      </c>
      <c r="B55" s="13" t="s">
        <v>18</v>
      </c>
      <c r="C55" s="13" t="s">
        <v>189</v>
      </c>
      <c r="D55" s="17" t="s">
        <v>43</v>
      </c>
      <c r="E55" s="14" t="s">
        <v>112</v>
      </c>
      <c r="F55" s="17" t="s">
        <v>10</v>
      </c>
      <c r="G55" s="17" t="s">
        <v>53</v>
      </c>
      <c r="H55" s="13" t="s">
        <v>176</v>
      </c>
      <c r="I55" s="13" t="s">
        <v>190</v>
      </c>
    </row>
    <row r="56" customFormat="false" ht="15" hidden="false" customHeight="false" outlineLevel="0" collapsed="false">
      <c r="A56" s="12" t="n">
        <v>55</v>
      </c>
      <c r="B56" s="13" t="s">
        <v>18</v>
      </c>
      <c r="C56" s="13" t="s">
        <v>191</v>
      </c>
      <c r="D56" s="17" t="s">
        <v>41</v>
      </c>
      <c r="E56" s="14" t="s">
        <v>69</v>
      </c>
      <c r="F56" s="17" t="s">
        <v>6</v>
      </c>
      <c r="G56" s="17" t="s">
        <v>53</v>
      </c>
      <c r="H56" s="13" t="s">
        <v>135</v>
      </c>
      <c r="I56" s="13" t="s">
        <v>192</v>
      </c>
    </row>
    <row r="57" customFormat="false" ht="15" hidden="false" customHeight="false" outlineLevel="0" collapsed="false">
      <c r="A57" s="12" t="n">
        <v>56</v>
      </c>
      <c r="B57" s="13" t="s">
        <v>18</v>
      </c>
      <c r="C57" s="13" t="s">
        <v>193</v>
      </c>
      <c r="D57" s="17" t="s">
        <v>43</v>
      </c>
      <c r="E57" s="14" t="s">
        <v>112</v>
      </c>
      <c r="F57" s="17" t="s">
        <v>10</v>
      </c>
      <c r="G57" s="17" t="s">
        <v>53</v>
      </c>
      <c r="H57" s="13" t="s">
        <v>176</v>
      </c>
      <c r="I57" s="13"/>
    </row>
    <row r="58" customFormat="false" ht="15" hidden="false" customHeight="false" outlineLevel="0" collapsed="false">
      <c r="A58" s="12" t="n">
        <v>57</v>
      </c>
      <c r="B58" s="13" t="s">
        <v>18</v>
      </c>
      <c r="C58" s="13" t="s">
        <v>194</v>
      </c>
      <c r="D58" s="17" t="s">
        <v>41</v>
      </c>
      <c r="E58" s="14" t="s">
        <v>69</v>
      </c>
      <c r="F58" s="17" t="s">
        <v>8</v>
      </c>
      <c r="G58" s="17" t="s">
        <v>51</v>
      </c>
      <c r="H58" s="13" t="s">
        <v>195</v>
      </c>
      <c r="I58" s="13" t="s">
        <v>196</v>
      </c>
    </row>
    <row r="59" customFormat="false" ht="15" hidden="false" customHeight="false" outlineLevel="0" collapsed="false">
      <c r="A59" s="12" t="n">
        <v>58</v>
      </c>
      <c r="B59" s="13" t="s">
        <v>18</v>
      </c>
      <c r="C59" s="13" t="s">
        <v>197</v>
      </c>
      <c r="D59" s="17" t="s">
        <v>43</v>
      </c>
      <c r="E59" s="14" t="s">
        <v>112</v>
      </c>
      <c r="F59" s="17" t="s">
        <v>10</v>
      </c>
      <c r="G59" s="17" t="s">
        <v>53</v>
      </c>
      <c r="H59" s="13" t="s">
        <v>195</v>
      </c>
      <c r="I59" s="13"/>
    </row>
    <row r="60" customFormat="false" ht="23.85" hidden="false" customHeight="false" outlineLevel="0" collapsed="false">
      <c r="A60" s="12" t="n">
        <v>59</v>
      </c>
      <c r="B60" s="13" t="s">
        <v>18</v>
      </c>
      <c r="C60" s="13" t="s">
        <v>198</v>
      </c>
      <c r="D60" s="17" t="s">
        <v>41</v>
      </c>
      <c r="E60" s="14" t="s">
        <v>69</v>
      </c>
      <c r="F60" s="17" t="s">
        <v>6</v>
      </c>
      <c r="G60" s="17" t="s">
        <v>53</v>
      </c>
      <c r="H60" s="13" t="s">
        <v>135</v>
      </c>
      <c r="I60" s="13" t="s">
        <v>199</v>
      </c>
    </row>
    <row r="61" customFormat="false" ht="15" hidden="false" customHeight="false" outlineLevel="0" collapsed="false">
      <c r="A61" s="12" t="n">
        <v>60</v>
      </c>
      <c r="B61" s="13" t="s">
        <v>18</v>
      </c>
      <c r="C61" s="13" t="s">
        <v>200</v>
      </c>
      <c r="D61" s="17" t="s">
        <v>43</v>
      </c>
      <c r="E61" s="14" t="s">
        <v>112</v>
      </c>
      <c r="F61" s="17" t="s">
        <v>10</v>
      </c>
      <c r="G61" s="17" t="s">
        <v>51</v>
      </c>
      <c r="H61" s="13" t="s">
        <v>176</v>
      </c>
      <c r="I61" s="13"/>
    </row>
    <row r="62" customFormat="false" ht="15" hidden="false" customHeight="false" outlineLevel="0" collapsed="false">
      <c r="A62" s="12" t="n">
        <v>61</v>
      </c>
      <c r="B62" s="13" t="s">
        <v>18</v>
      </c>
      <c r="C62" s="13" t="s">
        <v>201</v>
      </c>
      <c r="D62" s="17" t="s">
        <v>45</v>
      </c>
      <c r="E62" s="14" t="s">
        <v>112</v>
      </c>
      <c r="F62" s="17" t="s">
        <v>10</v>
      </c>
      <c r="G62" s="17" t="s">
        <v>51</v>
      </c>
      <c r="H62" s="13" t="s">
        <v>202</v>
      </c>
      <c r="I62" s="13" t="s">
        <v>203</v>
      </c>
    </row>
    <row r="63" customFormat="false" ht="15" hidden="false" customHeight="false" outlineLevel="0" collapsed="false">
      <c r="A63" s="12" t="n">
        <v>62</v>
      </c>
      <c r="B63" s="13" t="s">
        <v>18</v>
      </c>
      <c r="C63" s="13" t="s">
        <v>204</v>
      </c>
      <c r="D63" s="17" t="s">
        <v>41</v>
      </c>
      <c r="E63" s="14" t="s">
        <v>69</v>
      </c>
      <c r="F63" s="17" t="s">
        <v>7</v>
      </c>
      <c r="G63" s="17" t="s">
        <v>53</v>
      </c>
      <c r="H63" s="13" t="s">
        <v>135</v>
      </c>
      <c r="I63" s="13" t="s">
        <v>205</v>
      </c>
    </row>
    <row r="64" customFormat="false" ht="15" hidden="false" customHeight="false" outlineLevel="0" collapsed="false">
      <c r="A64" s="12" t="n">
        <v>63</v>
      </c>
      <c r="B64" s="13" t="s">
        <v>18</v>
      </c>
      <c r="C64" s="13" t="s">
        <v>206</v>
      </c>
      <c r="D64" s="17" t="s">
        <v>43</v>
      </c>
      <c r="E64" s="14" t="s">
        <v>112</v>
      </c>
      <c r="F64" s="17" t="s">
        <v>10</v>
      </c>
      <c r="G64" s="17" t="s">
        <v>53</v>
      </c>
      <c r="H64" s="13" t="s">
        <v>176</v>
      </c>
      <c r="I64" s="13"/>
    </row>
    <row r="65" customFormat="false" ht="15" hidden="false" customHeight="false" outlineLevel="0" collapsed="false">
      <c r="A65" s="12" t="n">
        <v>64</v>
      </c>
      <c r="B65" s="13" t="s">
        <v>18</v>
      </c>
      <c r="C65" s="13" t="s">
        <v>207</v>
      </c>
      <c r="D65" s="17" t="s">
        <v>41</v>
      </c>
      <c r="E65" s="14" t="s">
        <v>69</v>
      </c>
      <c r="F65" s="17" t="s">
        <v>10</v>
      </c>
      <c r="G65" s="17" t="s">
        <v>51</v>
      </c>
      <c r="H65" s="13" t="s">
        <v>176</v>
      </c>
      <c r="I65" s="13" t="s">
        <v>208</v>
      </c>
    </row>
    <row r="66" customFormat="false" ht="15" hidden="false" customHeight="false" outlineLevel="0" collapsed="false">
      <c r="A66" s="12" t="n">
        <v>65</v>
      </c>
      <c r="B66" s="13" t="s">
        <v>18</v>
      </c>
      <c r="C66" s="13" t="s">
        <v>209</v>
      </c>
      <c r="D66" s="17" t="s">
        <v>43</v>
      </c>
      <c r="E66" s="14" t="s">
        <v>69</v>
      </c>
      <c r="F66" s="17" t="s">
        <v>10</v>
      </c>
      <c r="G66" s="17" t="s">
        <v>51</v>
      </c>
      <c r="H66" s="13" t="s">
        <v>210</v>
      </c>
      <c r="I66" s="13"/>
    </row>
    <row r="67" customFormat="false" ht="15" hidden="false" customHeight="false" outlineLevel="0" collapsed="false">
      <c r="A67" s="12" t="n">
        <v>66</v>
      </c>
      <c r="B67" s="13" t="s">
        <v>18</v>
      </c>
      <c r="C67" s="13" t="s">
        <v>211</v>
      </c>
      <c r="D67" s="17" t="s">
        <v>45</v>
      </c>
      <c r="E67" s="14" t="s">
        <v>112</v>
      </c>
      <c r="F67" s="17" t="s">
        <v>10</v>
      </c>
      <c r="G67" s="17" t="s">
        <v>53</v>
      </c>
      <c r="H67" s="13" t="s">
        <v>210</v>
      </c>
      <c r="I67" s="13"/>
    </row>
    <row r="68" customFormat="false" ht="15" hidden="false" customHeight="false" outlineLevel="0" collapsed="false">
      <c r="A68" s="12" t="n">
        <v>67</v>
      </c>
      <c r="B68" s="13" t="s">
        <v>19</v>
      </c>
      <c r="C68" s="13" t="s">
        <v>212</v>
      </c>
      <c r="D68" s="17" t="s">
        <v>41</v>
      </c>
      <c r="E68" s="14" t="s">
        <v>69</v>
      </c>
      <c r="F68" s="17" t="s">
        <v>8</v>
      </c>
      <c r="G68" s="17" t="s">
        <v>15</v>
      </c>
      <c r="H68" s="13" t="s">
        <v>96</v>
      </c>
      <c r="I68" s="13" t="s">
        <v>213</v>
      </c>
    </row>
    <row r="69" customFormat="false" ht="15" hidden="false" customHeight="false" outlineLevel="0" collapsed="false">
      <c r="A69" s="12" t="n">
        <v>68</v>
      </c>
      <c r="B69" s="13" t="s">
        <v>19</v>
      </c>
      <c r="C69" s="13" t="s">
        <v>214</v>
      </c>
      <c r="D69" s="17" t="s">
        <v>41</v>
      </c>
      <c r="E69" s="14" t="s">
        <v>69</v>
      </c>
      <c r="F69" s="17" t="s">
        <v>6</v>
      </c>
      <c r="G69" s="17" t="s">
        <v>53</v>
      </c>
      <c r="H69" s="13" t="s">
        <v>135</v>
      </c>
      <c r="I69" s="13" t="s">
        <v>215</v>
      </c>
    </row>
    <row r="70" customFormat="false" ht="23.85" hidden="false" customHeight="false" outlineLevel="0" collapsed="false">
      <c r="A70" s="12" t="n">
        <v>69</v>
      </c>
      <c r="B70" s="13" t="s">
        <v>19</v>
      </c>
      <c r="C70" s="13" t="s">
        <v>216</v>
      </c>
      <c r="D70" s="17" t="s">
        <v>43</v>
      </c>
      <c r="E70" s="14" t="s">
        <v>69</v>
      </c>
      <c r="F70" s="17" t="s">
        <v>7</v>
      </c>
      <c r="G70" s="17" t="s">
        <v>15</v>
      </c>
      <c r="H70" s="13" t="s">
        <v>195</v>
      </c>
      <c r="I70" s="13" t="s">
        <v>217</v>
      </c>
    </row>
    <row r="71" customFormat="false" ht="23.85" hidden="false" customHeight="false" outlineLevel="0" collapsed="false">
      <c r="A71" s="12" t="n">
        <v>70</v>
      </c>
      <c r="B71" s="13" t="s">
        <v>19</v>
      </c>
      <c r="C71" s="13" t="s">
        <v>218</v>
      </c>
      <c r="D71" s="17" t="s">
        <v>43</v>
      </c>
      <c r="E71" s="14" t="s">
        <v>103</v>
      </c>
      <c r="F71" s="17" t="s">
        <v>8</v>
      </c>
      <c r="G71" s="17" t="s">
        <v>51</v>
      </c>
      <c r="H71" s="13" t="s">
        <v>195</v>
      </c>
      <c r="I71" s="13" t="s">
        <v>219</v>
      </c>
    </row>
    <row r="72" customFormat="false" ht="15" hidden="false" customHeight="false" outlineLevel="0" collapsed="false">
      <c r="A72" s="12" t="n">
        <v>71</v>
      </c>
      <c r="B72" s="13" t="s">
        <v>19</v>
      </c>
      <c r="C72" s="13" t="s">
        <v>220</v>
      </c>
      <c r="D72" s="17" t="s">
        <v>43</v>
      </c>
      <c r="E72" s="14" t="s">
        <v>112</v>
      </c>
      <c r="F72" s="17" t="s">
        <v>10</v>
      </c>
      <c r="G72" s="17" t="s">
        <v>51</v>
      </c>
      <c r="H72" s="13" t="s">
        <v>195</v>
      </c>
      <c r="I72" s="13" t="s">
        <v>221</v>
      </c>
    </row>
    <row r="73" customFormat="false" ht="15" hidden="false" customHeight="false" outlineLevel="0" collapsed="false">
      <c r="A73" s="12" t="n">
        <v>72</v>
      </c>
      <c r="B73" s="13" t="s">
        <v>19</v>
      </c>
      <c r="C73" s="13" t="s">
        <v>222</v>
      </c>
      <c r="D73" s="17" t="s">
        <v>43</v>
      </c>
      <c r="E73" s="14" t="s">
        <v>112</v>
      </c>
      <c r="F73" s="17" t="s">
        <v>10</v>
      </c>
      <c r="G73" s="17" t="s">
        <v>51</v>
      </c>
      <c r="H73" s="13" t="s">
        <v>195</v>
      </c>
      <c r="I73" s="13" t="s">
        <v>223</v>
      </c>
    </row>
    <row r="74" customFormat="false" ht="15" hidden="false" customHeight="false" outlineLevel="0" collapsed="false">
      <c r="A74" s="12" t="n">
        <v>73</v>
      </c>
      <c r="B74" s="13" t="s">
        <v>19</v>
      </c>
      <c r="C74" s="13" t="s">
        <v>224</v>
      </c>
      <c r="D74" s="17" t="s">
        <v>45</v>
      </c>
      <c r="E74" s="14" t="s">
        <v>112</v>
      </c>
      <c r="F74" s="17" t="s">
        <v>10</v>
      </c>
      <c r="G74" s="17" t="s">
        <v>53</v>
      </c>
      <c r="H74" s="13" t="s">
        <v>225</v>
      </c>
      <c r="I74" s="13"/>
    </row>
    <row r="75" customFormat="false" ht="15" hidden="false" customHeight="false" outlineLevel="0" collapsed="false">
      <c r="A75" s="12" t="n">
        <v>74</v>
      </c>
      <c r="B75" s="13" t="s">
        <v>19</v>
      </c>
      <c r="C75" s="13" t="s">
        <v>226</v>
      </c>
      <c r="D75" s="17" t="s">
        <v>45</v>
      </c>
      <c r="E75" s="14" t="s">
        <v>112</v>
      </c>
      <c r="F75" s="17" t="s">
        <v>10</v>
      </c>
      <c r="G75" s="17" t="s">
        <v>53</v>
      </c>
      <c r="H75" s="13" t="s">
        <v>225</v>
      </c>
      <c r="I75" s="13"/>
    </row>
    <row r="76" customFormat="false" ht="15" hidden="false" customHeight="false" outlineLevel="0" collapsed="false">
      <c r="A76" s="12" t="n">
        <v>75</v>
      </c>
      <c r="B76" s="13" t="s">
        <v>19</v>
      </c>
      <c r="C76" s="13" t="s">
        <v>227</v>
      </c>
      <c r="D76" s="17" t="s">
        <v>43</v>
      </c>
      <c r="E76" s="14" t="s">
        <v>112</v>
      </c>
      <c r="F76" s="17" t="s">
        <v>10</v>
      </c>
      <c r="G76" s="17" t="s">
        <v>51</v>
      </c>
      <c r="H76" s="13" t="s">
        <v>195</v>
      </c>
      <c r="I76" s="13" t="s">
        <v>228</v>
      </c>
    </row>
    <row r="77" customFormat="false" ht="15" hidden="false" customHeight="false" outlineLevel="0" collapsed="false">
      <c r="A77" s="12" t="n">
        <v>76</v>
      </c>
      <c r="B77" s="13" t="s">
        <v>19</v>
      </c>
      <c r="C77" s="13" t="s">
        <v>229</v>
      </c>
      <c r="D77" s="17" t="s">
        <v>43</v>
      </c>
      <c r="E77" s="14" t="s">
        <v>8</v>
      </c>
      <c r="F77" s="17" t="s">
        <v>8</v>
      </c>
      <c r="G77" s="17" t="s">
        <v>51</v>
      </c>
      <c r="H77" s="13" t="s">
        <v>195</v>
      </c>
      <c r="I77" s="13" t="s">
        <v>230</v>
      </c>
    </row>
    <row r="78" customFormat="false" ht="23.85" hidden="false" customHeight="false" outlineLevel="0" collapsed="false">
      <c r="A78" s="12" t="n">
        <v>77</v>
      </c>
      <c r="B78" s="13" t="s">
        <v>19</v>
      </c>
      <c r="C78" s="13" t="s">
        <v>231</v>
      </c>
      <c r="D78" s="17" t="s">
        <v>45</v>
      </c>
      <c r="E78" s="14" t="s">
        <v>112</v>
      </c>
      <c r="F78" s="17" t="s">
        <v>10</v>
      </c>
      <c r="G78" s="17" t="s">
        <v>51</v>
      </c>
      <c r="H78" s="13" t="s">
        <v>225</v>
      </c>
      <c r="I78" s="13" t="s">
        <v>232</v>
      </c>
    </row>
    <row r="79" customFormat="false" ht="15" hidden="false" customHeight="false" outlineLevel="0" collapsed="false">
      <c r="A79" s="12" t="n">
        <v>78</v>
      </c>
      <c r="B79" s="13" t="s">
        <v>19</v>
      </c>
      <c r="C79" s="13" t="s">
        <v>233</v>
      </c>
      <c r="D79" s="17" t="s">
        <v>43</v>
      </c>
      <c r="E79" s="14" t="s">
        <v>69</v>
      </c>
      <c r="F79" s="17" t="s">
        <v>10</v>
      </c>
      <c r="G79" s="17" t="s">
        <v>51</v>
      </c>
      <c r="H79" s="13" t="s">
        <v>195</v>
      </c>
      <c r="I79" s="13" t="s">
        <v>234</v>
      </c>
    </row>
    <row r="80" customFormat="false" ht="15" hidden="false" customHeight="false" outlineLevel="0" collapsed="false">
      <c r="A80" s="12" t="n">
        <v>79</v>
      </c>
      <c r="B80" s="13" t="s">
        <v>19</v>
      </c>
      <c r="C80" s="13" t="s">
        <v>235</v>
      </c>
      <c r="D80" s="17" t="s">
        <v>45</v>
      </c>
      <c r="E80" s="14" t="s">
        <v>112</v>
      </c>
      <c r="F80" s="17" t="s">
        <v>10</v>
      </c>
      <c r="G80" s="17" t="s">
        <v>51</v>
      </c>
      <c r="H80" s="13" t="s">
        <v>225</v>
      </c>
      <c r="I80" s="13" t="s">
        <v>236</v>
      </c>
    </row>
    <row r="81" customFormat="false" ht="15" hidden="false" customHeight="false" outlineLevel="0" collapsed="false">
      <c r="A81" s="12" t="n">
        <v>80</v>
      </c>
      <c r="B81" s="13" t="s">
        <v>19</v>
      </c>
      <c r="C81" s="13" t="s">
        <v>237</v>
      </c>
      <c r="D81" s="17" t="s">
        <v>43</v>
      </c>
      <c r="E81" s="14" t="s">
        <v>69</v>
      </c>
      <c r="F81" s="17" t="s">
        <v>8</v>
      </c>
      <c r="G81" s="17" t="s">
        <v>51</v>
      </c>
      <c r="H81" s="13" t="s">
        <v>225</v>
      </c>
      <c r="I81" s="13" t="s">
        <v>238</v>
      </c>
    </row>
    <row r="82" customFormat="false" ht="15" hidden="false" customHeight="false" outlineLevel="0" collapsed="false">
      <c r="A82" s="12" t="n">
        <v>81</v>
      </c>
      <c r="B82" s="13" t="s">
        <v>19</v>
      </c>
      <c r="C82" s="13" t="s">
        <v>239</v>
      </c>
      <c r="D82" s="17" t="s">
        <v>43</v>
      </c>
      <c r="E82" s="14" t="s">
        <v>112</v>
      </c>
      <c r="F82" s="17" t="s">
        <v>10</v>
      </c>
      <c r="G82" s="17" t="s">
        <v>51</v>
      </c>
      <c r="H82" s="13" t="s">
        <v>225</v>
      </c>
      <c r="I82" s="13" t="s">
        <v>240</v>
      </c>
    </row>
    <row r="83" customFormat="false" ht="15" hidden="false" customHeight="false" outlineLevel="0" collapsed="false">
      <c r="A83" s="12" t="n">
        <v>82</v>
      </c>
      <c r="B83" s="13" t="s">
        <v>19</v>
      </c>
      <c r="C83" s="13" t="s">
        <v>241</v>
      </c>
      <c r="D83" s="17" t="s">
        <v>43</v>
      </c>
      <c r="E83" s="14" t="s">
        <v>103</v>
      </c>
      <c r="F83" s="17" t="s">
        <v>8</v>
      </c>
      <c r="G83" s="17" t="s">
        <v>51</v>
      </c>
      <c r="H83" s="13" t="s">
        <v>225</v>
      </c>
      <c r="I83" s="13" t="s">
        <v>242</v>
      </c>
    </row>
    <row r="84" customFormat="false" ht="15" hidden="false" customHeight="false" outlineLevel="0" collapsed="false">
      <c r="A84" s="12" t="n">
        <v>83</v>
      </c>
      <c r="B84" s="13" t="s">
        <v>19</v>
      </c>
      <c r="C84" s="13" t="s">
        <v>243</v>
      </c>
      <c r="D84" s="17" t="s">
        <v>45</v>
      </c>
      <c r="E84" s="14" t="s">
        <v>112</v>
      </c>
      <c r="F84" s="17" t="s">
        <v>10</v>
      </c>
      <c r="G84" s="17" t="s">
        <v>51</v>
      </c>
      <c r="H84" s="13" t="s">
        <v>225</v>
      </c>
      <c r="I84" s="13" t="s">
        <v>244</v>
      </c>
    </row>
    <row r="85" customFormat="false" ht="15" hidden="false" customHeight="false" outlineLevel="0" collapsed="false">
      <c r="A85" s="12" t="n">
        <v>84</v>
      </c>
      <c r="B85" s="13" t="s">
        <v>19</v>
      </c>
      <c r="C85" s="13" t="s">
        <v>245</v>
      </c>
      <c r="D85" s="17" t="s">
        <v>45</v>
      </c>
      <c r="E85" s="14" t="s">
        <v>8</v>
      </c>
      <c r="F85" s="17" t="s">
        <v>8</v>
      </c>
      <c r="G85" s="17" t="s">
        <v>51</v>
      </c>
      <c r="H85" s="13" t="s">
        <v>225</v>
      </c>
      <c r="I85" s="13" t="s">
        <v>246</v>
      </c>
    </row>
    <row r="86" customFormat="false" ht="23.85" hidden="false" customHeight="false" outlineLevel="0" collapsed="false">
      <c r="A86" s="12" t="n">
        <v>85</v>
      </c>
      <c r="B86" s="13" t="s">
        <v>20</v>
      </c>
      <c r="C86" s="13" t="s">
        <v>247</v>
      </c>
      <c r="D86" s="17" t="s">
        <v>41</v>
      </c>
      <c r="E86" s="14" t="s">
        <v>69</v>
      </c>
      <c r="F86" s="17" t="s">
        <v>7</v>
      </c>
      <c r="G86" s="17" t="s">
        <v>51</v>
      </c>
      <c r="H86" s="13" t="s">
        <v>96</v>
      </c>
      <c r="I86" s="13" t="s">
        <v>248</v>
      </c>
    </row>
    <row r="87" customFormat="false" ht="15" hidden="false" customHeight="false" outlineLevel="0" collapsed="false">
      <c r="A87" s="12" t="n">
        <v>86</v>
      </c>
      <c r="B87" s="13" t="s">
        <v>20</v>
      </c>
      <c r="C87" s="13" t="s">
        <v>249</v>
      </c>
      <c r="D87" s="17" t="s">
        <v>41</v>
      </c>
      <c r="E87" s="14" t="s">
        <v>69</v>
      </c>
      <c r="F87" s="17" t="s">
        <v>7</v>
      </c>
      <c r="G87" s="17" t="s">
        <v>51</v>
      </c>
      <c r="H87" s="13" t="s">
        <v>135</v>
      </c>
      <c r="I87" s="13" t="s">
        <v>250</v>
      </c>
    </row>
    <row r="88" customFormat="false" ht="23.85" hidden="false" customHeight="false" outlineLevel="0" collapsed="false">
      <c r="A88" s="12" t="n">
        <v>87</v>
      </c>
      <c r="B88" s="13" t="s">
        <v>20</v>
      </c>
      <c r="C88" s="13" t="s">
        <v>251</v>
      </c>
      <c r="D88" s="17" t="s">
        <v>41</v>
      </c>
      <c r="E88" s="14" t="s">
        <v>69</v>
      </c>
      <c r="F88" s="17" t="s">
        <v>6</v>
      </c>
      <c r="G88" s="17" t="s">
        <v>53</v>
      </c>
      <c r="H88" s="13" t="s">
        <v>135</v>
      </c>
      <c r="I88" s="13" t="s">
        <v>252</v>
      </c>
    </row>
    <row r="89" customFormat="false" ht="15" hidden="false" customHeight="false" outlineLevel="0" collapsed="false">
      <c r="A89" s="12" t="n">
        <v>88</v>
      </c>
      <c r="B89" s="13" t="s">
        <v>20</v>
      </c>
      <c r="C89" s="13" t="s">
        <v>253</v>
      </c>
      <c r="D89" s="17" t="s">
        <v>41</v>
      </c>
      <c r="E89" s="14" t="s">
        <v>69</v>
      </c>
      <c r="F89" s="17" t="s">
        <v>10</v>
      </c>
      <c r="G89" s="17" t="s">
        <v>15</v>
      </c>
      <c r="H89" s="13" t="s">
        <v>254</v>
      </c>
      <c r="I89" s="13"/>
    </row>
    <row r="90" customFormat="false" ht="23.85" hidden="false" customHeight="false" outlineLevel="0" collapsed="false">
      <c r="A90" s="12" t="n">
        <v>89</v>
      </c>
      <c r="B90" s="13" t="s">
        <v>20</v>
      </c>
      <c r="C90" s="13" t="s">
        <v>255</v>
      </c>
      <c r="D90" s="17" t="s">
        <v>43</v>
      </c>
      <c r="E90" s="14" t="s">
        <v>69</v>
      </c>
      <c r="F90" s="17" t="s">
        <v>10</v>
      </c>
      <c r="G90" s="17" t="s">
        <v>15</v>
      </c>
      <c r="H90" s="13" t="s">
        <v>256</v>
      </c>
      <c r="I90" s="13" t="s">
        <v>257</v>
      </c>
    </row>
    <row r="91" customFormat="false" ht="15" hidden="false" customHeight="false" outlineLevel="0" collapsed="false">
      <c r="A91" s="12" t="n">
        <v>90</v>
      </c>
      <c r="B91" s="13" t="s">
        <v>20</v>
      </c>
      <c r="C91" s="13" t="s">
        <v>258</v>
      </c>
      <c r="D91" s="17" t="s">
        <v>41</v>
      </c>
      <c r="E91" s="14" t="s">
        <v>69</v>
      </c>
      <c r="F91" s="17" t="s">
        <v>8</v>
      </c>
      <c r="G91" s="17" t="s">
        <v>51</v>
      </c>
      <c r="H91" s="13" t="s">
        <v>130</v>
      </c>
      <c r="I91" s="13" t="s">
        <v>259</v>
      </c>
    </row>
    <row r="92" customFormat="false" ht="23.85" hidden="false" customHeight="false" outlineLevel="0" collapsed="false">
      <c r="A92" s="12" t="n">
        <v>91</v>
      </c>
      <c r="B92" s="13" t="s">
        <v>20</v>
      </c>
      <c r="C92" s="13" t="s">
        <v>260</v>
      </c>
      <c r="D92" s="17" t="s">
        <v>41</v>
      </c>
      <c r="E92" s="14" t="s">
        <v>69</v>
      </c>
      <c r="F92" s="17" t="s">
        <v>6</v>
      </c>
      <c r="G92" s="17" t="s">
        <v>53</v>
      </c>
      <c r="H92" s="13" t="s">
        <v>135</v>
      </c>
      <c r="I92" s="13" t="s">
        <v>261</v>
      </c>
    </row>
    <row r="93" customFormat="false" ht="15" hidden="false" customHeight="false" outlineLevel="0" collapsed="false">
      <c r="A93" s="12" t="n">
        <v>92</v>
      </c>
      <c r="B93" s="13" t="s">
        <v>20</v>
      </c>
      <c r="C93" s="13" t="s">
        <v>262</v>
      </c>
      <c r="D93" s="17" t="s">
        <v>41</v>
      </c>
      <c r="E93" s="14" t="s">
        <v>69</v>
      </c>
      <c r="F93" s="17" t="s">
        <v>10</v>
      </c>
      <c r="G93" s="17" t="s">
        <v>51</v>
      </c>
      <c r="H93" s="13" t="s">
        <v>130</v>
      </c>
      <c r="I93" s="13"/>
    </row>
    <row r="94" customFormat="false" ht="15" hidden="false" customHeight="false" outlineLevel="0" collapsed="false">
      <c r="A94" s="12" t="n">
        <v>93</v>
      </c>
      <c r="B94" s="13" t="s">
        <v>20</v>
      </c>
      <c r="C94" s="13" t="s">
        <v>263</v>
      </c>
      <c r="D94" s="17" t="s">
        <v>41</v>
      </c>
      <c r="E94" s="14" t="s">
        <v>69</v>
      </c>
      <c r="F94" s="17" t="s">
        <v>10</v>
      </c>
      <c r="G94" s="17" t="s">
        <v>51</v>
      </c>
      <c r="H94" s="13" t="s">
        <v>264</v>
      </c>
      <c r="I94" s="13"/>
    </row>
    <row r="95" customFormat="false" ht="15" hidden="false" customHeight="false" outlineLevel="0" collapsed="false">
      <c r="A95" s="12" t="n">
        <v>94</v>
      </c>
      <c r="B95" s="13" t="s">
        <v>20</v>
      </c>
      <c r="C95" s="13" t="s">
        <v>265</v>
      </c>
      <c r="D95" s="17" t="s">
        <v>43</v>
      </c>
      <c r="E95" s="14" t="s">
        <v>112</v>
      </c>
      <c r="F95" s="17" t="s">
        <v>10</v>
      </c>
      <c r="G95" s="17" t="s">
        <v>51</v>
      </c>
      <c r="H95" s="13" t="s">
        <v>266</v>
      </c>
      <c r="I95" s="13"/>
    </row>
    <row r="96" customFormat="false" ht="15" hidden="false" customHeight="false" outlineLevel="0" collapsed="false">
      <c r="A96" s="12" t="n">
        <v>95</v>
      </c>
      <c r="B96" s="13" t="s">
        <v>20</v>
      </c>
      <c r="C96" s="13" t="s">
        <v>267</v>
      </c>
      <c r="D96" s="17" t="s">
        <v>43</v>
      </c>
      <c r="E96" s="14" t="s">
        <v>112</v>
      </c>
      <c r="F96" s="17" t="s">
        <v>10</v>
      </c>
      <c r="G96" s="17" t="s">
        <v>51</v>
      </c>
      <c r="H96" s="13" t="s">
        <v>266</v>
      </c>
      <c r="I96" s="13" t="s">
        <v>268</v>
      </c>
    </row>
    <row r="97" customFormat="false" ht="15" hidden="false" customHeight="false" outlineLevel="0" collapsed="false">
      <c r="A97" s="12" t="n">
        <v>96</v>
      </c>
      <c r="B97" s="13" t="s">
        <v>20</v>
      </c>
      <c r="C97" s="13" t="s">
        <v>269</v>
      </c>
      <c r="D97" s="17" t="s">
        <v>43</v>
      </c>
      <c r="E97" s="14" t="s">
        <v>112</v>
      </c>
      <c r="F97" s="17" t="s">
        <v>10</v>
      </c>
      <c r="G97" s="17" t="s">
        <v>53</v>
      </c>
      <c r="H97" s="13" t="s">
        <v>266</v>
      </c>
      <c r="I97" s="13"/>
    </row>
    <row r="98" customFormat="false" ht="15" hidden="false" customHeight="false" outlineLevel="0" collapsed="false">
      <c r="A98" s="12" t="n">
        <v>97</v>
      </c>
      <c r="B98" s="13" t="s">
        <v>20</v>
      </c>
      <c r="C98" s="13" t="s">
        <v>270</v>
      </c>
      <c r="D98" s="17" t="s">
        <v>43</v>
      </c>
      <c r="E98" s="14" t="s">
        <v>69</v>
      </c>
      <c r="F98" s="17" t="s">
        <v>10</v>
      </c>
      <c r="G98" s="17" t="s">
        <v>51</v>
      </c>
      <c r="H98" s="13" t="s">
        <v>266</v>
      </c>
      <c r="I98" s="13"/>
    </row>
    <row r="99" customFormat="false" ht="15" hidden="false" customHeight="false" outlineLevel="0" collapsed="false">
      <c r="A99" s="12" t="n">
        <v>98</v>
      </c>
      <c r="B99" s="13" t="s">
        <v>20</v>
      </c>
      <c r="C99" s="13" t="s">
        <v>271</v>
      </c>
      <c r="D99" s="17" t="s">
        <v>45</v>
      </c>
      <c r="E99" s="14" t="s">
        <v>112</v>
      </c>
      <c r="F99" s="17" t="s">
        <v>10</v>
      </c>
      <c r="G99" s="17" t="s">
        <v>51</v>
      </c>
      <c r="H99" s="13" t="s">
        <v>272</v>
      </c>
      <c r="I99" s="13" t="s">
        <v>273</v>
      </c>
    </row>
    <row r="100" customFormat="false" ht="15" hidden="false" customHeight="false" outlineLevel="0" collapsed="false">
      <c r="A100" s="12" t="n">
        <v>99</v>
      </c>
      <c r="B100" s="13" t="s">
        <v>20</v>
      </c>
      <c r="C100" s="13" t="s">
        <v>274</v>
      </c>
      <c r="D100" s="17" t="s">
        <v>43</v>
      </c>
      <c r="E100" s="14" t="s">
        <v>112</v>
      </c>
      <c r="F100" s="17" t="s">
        <v>10</v>
      </c>
      <c r="G100" s="17" t="s">
        <v>51</v>
      </c>
      <c r="H100" s="13" t="s">
        <v>266</v>
      </c>
      <c r="I100" s="13"/>
    </row>
    <row r="101" customFormat="false" ht="15" hidden="false" customHeight="false" outlineLevel="0" collapsed="false">
      <c r="A101" s="12" t="n">
        <v>100</v>
      </c>
      <c r="B101" s="13" t="s">
        <v>20</v>
      </c>
      <c r="C101" s="13" t="s">
        <v>275</v>
      </c>
      <c r="D101" s="17" t="s">
        <v>41</v>
      </c>
      <c r="E101" s="14" t="s">
        <v>69</v>
      </c>
      <c r="F101" s="17" t="s">
        <v>10</v>
      </c>
      <c r="G101" s="17" t="s">
        <v>51</v>
      </c>
      <c r="H101" s="13" t="s">
        <v>266</v>
      </c>
      <c r="I101" s="13"/>
    </row>
    <row r="102" customFormat="false" ht="15" hidden="false" customHeight="false" outlineLevel="0" collapsed="false">
      <c r="A102" s="12" t="n">
        <v>101</v>
      </c>
      <c r="B102" s="13" t="s">
        <v>20</v>
      </c>
      <c r="C102" s="13" t="s">
        <v>276</v>
      </c>
      <c r="D102" s="17" t="s">
        <v>43</v>
      </c>
      <c r="E102" s="14" t="s">
        <v>103</v>
      </c>
      <c r="F102" s="17" t="s">
        <v>10</v>
      </c>
      <c r="G102" s="17" t="s">
        <v>53</v>
      </c>
      <c r="H102" s="13" t="s">
        <v>266</v>
      </c>
      <c r="I102" s="13"/>
    </row>
    <row r="103" customFormat="false" ht="15" hidden="false" customHeight="false" outlineLevel="0" collapsed="false">
      <c r="A103" s="12" t="n">
        <v>102</v>
      </c>
      <c r="B103" s="13" t="s">
        <v>20</v>
      </c>
      <c r="C103" s="13" t="s">
        <v>277</v>
      </c>
      <c r="D103" s="17" t="s">
        <v>41</v>
      </c>
      <c r="E103" s="14" t="s">
        <v>69</v>
      </c>
      <c r="F103" s="17" t="s">
        <v>8</v>
      </c>
      <c r="G103" s="17" t="s">
        <v>15</v>
      </c>
      <c r="H103" s="13" t="s">
        <v>167</v>
      </c>
      <c r="I103" s="13" t="s">
        <v>278</v>
      </c>
    </row>
    <row r="104" customFormat="false" ht="15" hidden="false" customHeight="false" outlineLevel="0" collapsed="false">
      <c r="A104" s="12" t="n">
        <v>103</v>
      </c>
      <c r="B104" s="13" t="s">
        <v>20</v>
      </c>
      <c r="C104" s="13" t="s">
        <v>279</v>
      </c>
      <c r="D104" s="17" t="s">
        <v>45</v>
      </c>
      <c r="E104" s="14" t="s">
        <v>112</v>
      </c>
      <c r="F104" s="17" t="s">
        <v>10</v>
      </c>
      <c r="G104" s="17" t="s">
        <v>53</v>
      </c>
      <c r="H104" s="13" t="s">
        <v>266</v>
      </c>
      <c r="I104" s="13"/>
    </row>
    <row r="105" customFormat="false" ht="23.85" hidden="false" customHeight="false" outlineLevel="0" collapsed="false">
      <c r="A105" s="12" t="n">
        <v>104</v>
      </c>
      <c r="B105" s="13" t="s">
        <v>20</v>
      </c>
      <c r="C105" s="13" t="s">
        <v>280</v>
      </c>
      <c r="D105" s="17" t="s">
        <v>45</v>
      </c>
      <c r="E105" s="14" t="s">
        <v>112</v>
      </c>
      <c r="F105" s="17" t="s">
        <v>10</v>
      </c>
      <c r="G105" s="17" t="s">
        <v>51</v>
      </c>
      <c r="H105" s="13" t="s">
        <v>130</v>
      </c>
      <c r="I105" s="13" t="s">
        <v>281</v>
      </c>
    </row>
    <row r="106" customFormat="false" ht="23.85" hidden="false" customHeight="false" outlineLevel="0" collapsed="false">
      <c r="A106" s="12" t="n">
        <v>105</v>
      </c>
      <c r="B106" s="13" t="s">
        <v>21</v>
      </c>
      <c r="C106" s="13" t="s">
        <v>282</v>
      </c>
      <c r="D106" s="17" t="s">
        <v>41</v>
      </c>
      <c r="E106" s="14" t="s">
        <v>69</v>
      </c>
      <c r="F106" s="17" t="s">
        <v>10</v>
      </c>
      <c r="G106" s="17" t="s">
        <v>15</v>
      </c>
      <c r="H106" s="13" t="s">
        <v>254</v>
      </c>
      <c r="I106" s="13" t="s">
        <v>283</v>
      </c>
    </row>
    <row r="107" customFormat="false" ht="23.85" hidden="false" customHeight="false" outlineLevel="0" collapsed="false">
      <c r="A107" s="12" t="n">
        <v>106</v>
      </c>
      <c r="B107" s="13" t="s">
        <v>21</v>
      </c>
      <c r="C107" s="13" t="s">
        <v>284</v>
      </c>
      <c r="D107" s="17" t="s">
        <v>41</v>
      </c>
      <c r="E107" s="14" t="s">
        <v>69</v>
      </c>
      <c r="F107" s="17" t="s">
        <v>10</v>
      </c>
      <c r="G107" s="17" t="s">
        <v>15</v>
      </c>
      <c r="H107" s="13" t="s">
        <v>254</v>
      </c>
      <c r="I107" s="13" t="s">
        <v>285</v>
      </c>
    </row>
    <row r="108" customFormat="false" ht="23.85" hidden="false" customHeight="false" outlineLevel="0" collapsed="false">
      <c r="A108" s="12" t="n">
        <v>107</v>
      </c>
      <c r="B108" s="13" t="s">
        <v>21</v>
      </c>
      <c r="C108" s="13" t="s">
        <v>286</v>
      </c>
      <c r="D108" s="17" t="s">
        <v>41</v>
      </c>
      <c r="E108" s="14" t="s">
        <v>69</v>
      </c>
      <c r="F108" s="17" t="s">
        <v>8</v>
      </c>
      <c r="G108" s="17" t="s">
        <v>15</v>
      </c>
      <c r="H108" s="13" t="s">
        <v>254</v>
      </c>
      <c r="I108" s="13" t="s">
        <v>287</v>
      </c>
    </row>
    <row r="109" customFormat="false" ht="23.85" hidden="false" customHeight="false" outlineLevel="0" collapsed="false">
      <c r="A109" s="12" t="n">
        <v>108</v>
      </c>
      <c r="B109" s="13" t="s">
        <v>21</v>
      </c>
      <c r="C109" s="13" t="s">
        <v>288</v>
      </c>
      <c r="D109" s="17" t="s">
        <v>41</v>
      </c>
      <c r="E109" s="14" t="s">
        <v>69</v>
      </c>
      <c r="F109" s="17" t="s">
        <v>10</v>
      </c>
      <c r="G109" s="17" t="s">
        <v>51</v>
      </c>
      <c r="H109" s="13" t="s">
        <v>289</v>
      </c>
      <c r="I109" s="13" t="s">
        <v>290</v>
      </c>
    </row>
    <row r="110" customFormat="false" ht="23.85" hidden="false" customHeight="false" outlineLevel="0" collapsed="false">
      <c r="A110" s="12" t="n">
        <v>109</v>
      </c>
      <c r="B110" s="13" t="s">
        <v>21</v>
      </c>
      <c r="C110" s="13" t="s">
        <v>291</v>
      </c>
      <c r="D110" s="17" t="s">
        <v>43</v>
      </c>
      <c r="E110" s="14" t="s">
        <v>103</v>
      </c>
      <c r="F110" s="17" t="s">
        <v>10</v>
      </c>
      <c r="G110" s="17" t="s">
        <v>53</v>
      </c>
      <c r="H110" s="13" t="s">
        <v>254</v>
      </c>
      <c r="I110" s="13" t="s">
        <v>292</v>
      </c>
    </row>
    <row r="111" customFormat="false" ht="23.85" hidden="false" customHeight="false" outlineLevel="0" collapsed="false">
      <c r="A111" s="12" t="n">
        <v>110</v>
      </c>
      <c r="B111" s="13" t="s">
        <v>21</v>
      </c>
      <c r="C111" s="13" t="s">
        <v>293</v>
      </c>
      <c r="D111" s="17" t="s">
        <v>41</v>
      </c>
      <c r="E111" s="14" t="s">
        <v>69</v>
      </c>
      <c r="F111" s="17" t="s">
        <v>10</v>
      </c>
      <c r="G111" s="17" t="s">
        <v>51</v>
      </c>
      <c r="H111" s="13" t="s">
        <v>294</v>
      </c>
      <c r="I111" s="13"/>
    </row>
    <row r="112" customFormat="false" ht="23.85" hidden="false" customHeight="false" outlineLevel="0" collapsed="false">
      <c r="A112" s="12" t="n">
        <v>111</v>
      </c>
      <c r="B112" s="13" t="s">
        <v>21</v>
      </c>
      <c r="C112" s="13" t="s">
        <v>295</v>
      </c>
      <c r="D112" s="17" t="s">
        <v>41</v>
      </c>
      <c r="E112" s="14" t="s">
        <v>69</v>
      </c>
      <c r="F112" s="17" t="s">
        <v>7</v>
      </c>
      <c r="G112" s="17" t="s">
        <v>51</v>
      </c>
      <c r="H112" s="13" t="s">
        <v>109</v>
      </c>
      <c r="I112" s="13" t="s">
        <v>296</v>
      </c>
    </row>
    <row r="113" customFormat="false" ht="23.85" hidden="false" customHeight="false" outlineLevel="0" collapsed="false">
      <c r="A113" s="12" t="n">
        <v>112</v>
      </c>
      <c r="B113" s="13" t="s">
        <v>21</v>
      </c>
      <c r="C113" s="13" t="s">
        <v>297</v>
      </c>
      <c r="D113" s="17" t="s">
        <v>43</v>
      </c>
      <c r="E113" s="14" t="s">
        <v>69</v>
      </c>
      <c r="F113" s="17" t="s">
        <v>10</v>
      </c>
      <c r="G113" s="17" t="s">
        <v>53</v>
      </c>
      <c r="H113" s="13" t="s">
        <v>202</v>
      </c>
      <c r="I113" s="13"/>
    </row>
    <row r="114" customFormat="false" ht="23.85" hidden="false" customHeight="false" outlineLevel="0" collapsed="false">
      <c r="A114" s="12" t="n">
        <v>113</v>
      </c>
      <c r="B114" s="13" t="s">
        <v>21</v>
      </c>
      <c r="C114" s="13" t="s">
        <v>298</v>
      </c>
      <c r="D114" s="17" t="s">
        <v>43</v>
      </c>
      <c r="E114" s="14" t="s">
        <v>69</v>
      </c>
      <c r="F114" s="17" t="s">
        <v>10</v>
      </c>
      <c r="G114" s="17" t="s">
        <v>51</v>
      </c>
      <c r="H114" s="13" t="s">
        <v>254</v>
      </c>
      <c r="I114" s="13" t="s">
        <v>299</v>
      </c>
    </row>
    <row r="115" customFormat="false" ht="23.85" hidden="false" customHeight="false" outlineLevel="0" collapsed="false">
      <c r="A115" s="12" t="n">
        <v>114</v>
      </c>
      <c r="B115" s="13" t="s">
        <v>21</v>
      </c>
      <c r="C115" s="13" t="s">
        <v>300</v>
      </c>
      <c r="D115" s="17" t="s">
        <v>45</v>
      </c>
      <c r="E115" s="14" t="s">
        <v>8</v>
      </c>
      <c r="F115" s="17" t="s">
        <v>9</v>
      </c>
      <c r="G115" s="17" t="s">
        <v>53</v>
      </c>
      <c r="H115" s="13" t="s">
        <v>202</v>
      </c>
      <c r="I115" s="13" t="s">
        <v>301</v>
      </c>
    </row>
    <row r="116" customFormat="false" ht="23.85" hidden="false" customHeight="false" outlineLevel="0" collapsed="false">
      <c r="A116" s="12" t="n">
        <v>115</v>
      </c>
      <c r="B116" s="13" t="s">
        <v>21</v>
      </c>
      <c r="C116" s="13" t="s">
        <v>302</v>
      </c>
      <c r="D116" s="17" t="s">
        <v>43</v>
      </c>
      <c r="E116" s="14" t="s">
        <v>69</v>
      </c>
      <c r="F116" s="17" t="s">
        <v>10</v>
      </c>
      <c r="G116" s="17" t="s">
        <v>53</v>
      </c>
      <c r="H116" s="13" t="s">
        <v>202</v>
      </c>
      <c r="I116" s="13"/>
    </row>
    <row r="117" customFormat="false" ht="23.85" hidden="false" customHeight="false" outlineLevel="0" collapsed="false">
      <c r="A117" s="12" t="n">
        <v>116</v>
      </c>
      <c r="B117" s="13" t="s">
        <v>21</v>
      </c>
      <c r="C117" s="13" t="s">
        <v>303</v>
      </c>
      <c r="D117" s="17" t="s">
        <v>41</v>
      </c>
      <c r="E117" s="14" t="s">
        <v>69</v>
      </c>
      <c r="F117" s="17" t="s">
        <v>8</v>
      </c>
      <c r="G117" s="17" t="s">
        <v>15</v>
      </c>
      <c r="H117" s="13" t="s">
        <v>254</v>
      </c>
      <c r="I117" s="13" t="s">
        <v>304</v>
      </c>
    </row>
    <row r="118" customFormat="false" ht="23.85" hidden="false" customHeight="false" outlineLevel="0" collapsed="false">
      <c r="A118" s="12" t="n">
        <v>117</v>
      </c>
      <c r="B118" s="13" t="s">
        <v>21</v>
      </c>
      <c r="C118" s="13" t="s">
        <v>305</v>
      </c>
      <c r="D118" s="17" t="s">
        <v>43</v>
      </c>
      <c r="E118" s="14" t="s">
        <v>69</v>
      </c>
      <c r="F118" s="17" t="s">
        <v>8</v>
      </c>
      <c r="G118" s="17" t="s">
        <v>15</v>
      </c>
      <c r="H118" s="13" t="s">
        <v>306</v>
      </c>
      <c r="I118" s="13" t="s">
        <v>307</v>
      </c>
    </row>
    <row r="119" customFormat="false" ht="23.85" hidden="false" customHeight="false" outlineLevel="0" collapsed="false">
      <c r="A119" s="12" t="n">
        <v>118</v>
      </c>
      <c r="B119" s="13" t="s">
        <v>21</v>
      </c>
      <c r="C119" s="13" t="s">
        <v>308</v>
      </c>
      <c r="D119" s="17" t="s">
        <v>43</v>
      </c>
      <c r="E119" s="14" t="s">
        <v>69</v>
      </c>
      <c r="F119" s="17" t="s">
        <v>10</v>
      </c>
      <c r="G119" s="17" t="s">
        <v>53</v>
      </c>
      <c r="H119" s="13" t="s">
        <v>309</v>
      </c>
      <c r="I119" s="13" t="s">
        <v>310</v>
      </c>
    </row>
    <row r="120" customFormat="false" ht="23.85" hidden="false" customHeight="false" outlineLevel="0" collapsed="false">
      <c r="A120" s="12" t="n">
        <v>119</v>
      </c>
      <c r="B120" s="13" t="s">
        <v>21</v>
      </c>
      <c r="C120" s="13" t="s">
        <v>311</v>
      </c>
      <c r="D120" s="17" t="s">
        <v>43</v>
      </c>
      <c r="E120" s="14" t="s">
        <v>69</v>
      </c>
      <c r="F120" s="17" t="s">
        <v>10</v>
      </c>
      <c r="G120" s="17" t="s">
        <v>53</v>
      </c>
      <c r="H120" s="13" t="s">
        <v>254</v>
      </c>
      <c r="I120" s="13"/>
    </row>
    <row r="121" customFormat="false" ht="23.85" hidden="false" customHeight="false" outlineLevel="0" collapsed="false">
      <c r="A121" s="12" t="n">
        <v>120</v>
      </c>
      <c r="B121" s="13" t="s">
        <v>21</v>
      </c>
      <c r="C121" s="13" t="s">
        <v>312</v>
      </c>
      <c r="D121" s="17" t="s">
        <v>43</v>
      </c>
      <c r="E121" s="14" t="s">
        <v>69</v>
      </c>
      <c r="F121" s="17" t="s">
        <v>10</v>
      </c>
      <c r="G121" s="17" t="s">
        <v>53</v>
      </c>
      <c r="H121" s="13" t="s">
        <v>254</v>
      </c>
      <c r="I121" s="13"/>
    </row>
    <row r="122" customFormat="false" ht="23.85" hidden="false" customHeight="false" outlineLevel="0" collapsed="false">
      <c r="A122" s="12" t="n">
        <v>121</v>
      </c>
      <c r="B122" s="13" t="s">
        <v>21</v>
      </c>
      <c r="C122" s="13" t="s">
        <v>313</v>
      </c>
      <c r="D122" s="17" t="s">
        <v>43</v>
      </c>
      <c r="E122" s="14" t="s">
        <v>69</v>
      </c>
      <c r="F122" s="17" t="s">
        <v>10</v>
      </c>
      <c r="G122" s="17" t="s">
        <v>53</v>
      </c>
      <c r="H122" s="13" t="s">
        <v>254</v>
      </c>
      <c r="I122" s="13" t="s">
        <v>314</v>
      </c>
    </row>
    <row r="123" customFormat="false" ht="23.85" hidden="false" customHeight="false" outlineLevel="0" collapsed="false">
      <c r="A123" s="12" t="n">
        <v>122</v>
      </c>
      <c r="B123" s="13" t="s">
        <v>21</v>
      </c>
      <c r="C123" s="13" t="s">
        <v>315</v>
      </c>
      <c r="D123" s="17" t="s">
        <v>45</v>
      </c>
      <c r="E123" s="14" t="s">
        <v>112</v>
      </c>
      <c r="F123" s="17" t="s">
        <v>10</v>
      </c>
      <c r="G123" s="17" t="s">
        <v>51</v>
      </c>
      <c r="H123" s="13" t="s">
        <v>202</v>
      </c>
      <c r="I123" s="13" t="s">
        <v>316</v>
      </c>
    </row>
    <row r="124" customFormat="false" ht="15" hidden="false" customHeight="false" outlineLevel="0" collapsed="false">
      <c r="A124" s="12" t="n">
        <v>123</v>
      </c>
      <c r="B124" s="13" t="s">
        <v>22</v>
      </c>
      <c r="C124" s="13" t="s">
        <v>317</v>
      </c>
      <c r="D124" s="17" t="s">
        <v>41</v>
      </c>
      <c r="E124" s="14" t="s">
        <v>69</v>
      </c>
      <c r="F124" s="17" t="s">
        <v>10</v>
      </c>
      <c r="G124" s="17" t="s">
        <v>51</v>
      </c>
      <c r="H124" s="13" t="s">
        <v>264</v>
      </c>
      <c r="I124" s="13" t="s">
        <v>318</v>
      </c>
    </row>
    <row r="125" customFormat="false" ht="15" hidden="false" customHeight="false" outlineLevel="0" collapsed="false">
      <c r="A125" s="12" t="n">
        <v>124</v>
      </c>
      <c r="B125" s="13" t="s">
        <v>22</v>
      </c>
      <c r="C125" s="13" t="s">
        <v>319</v>
      </c>
      <c r="D125" s="17" t="s">
        <v>41</v>
      </c>
      <c r="E125" s="14" t="s">
        <v>69</v>
      </c>
      <c r="F125" s="17" t="s">
        <v>10</v>
      </c>
      <c r="G125" s="17" t="s">
        <v>51</v>
      </c>
      <c r="H125" s="13" t="s">
        <v>264</v>
      </c>
      <c r="I125" s="13" t="s">
        <v>318</v>
      </c>
    </row>
    <row r="126" customFormat="false" ht="15" hidden="false" customHeight="false" outlineLevel="0" collapsed="false">
      <c r="A126" s="12" t="n">
        <v>125</v>
      </c>
      <c r="B126" s="13" t="s">
        <v>22</v>
      </c>
      <c r="C126" s="13" t="s">
        <v>320</v>
      </c>
      <c r="D126" s="17" t="s">
        <v>41</v>
      </c>
      <c r="E126" s="14" t="s">
        <v>69</v>
      </c>
      <c r="F126" s="17" t="s">
        <v>10</v>
      </c>
      <c r="G126" s="17" t="s">
        <v>51</v>
      </c>
      <c r="H126" s="13" t="s">
        <v>264</v>
      </c>
      <c r="I126" s="13" t="s">
        <v>318</v>
      </c>
    </row>
    <row r="127" customFormat="false" ht="15" hidden="false" customHeight="false" outlineLevel="0" collapsed="false">
      <c r="A127" s="12" t="n">
        <v>126</v>
      </c>
      <c r="B127" s="13" t="s">
        <v>22</v>
      </c>
      <c r="C127" s="13" t="s">
        <v>321</v>
      </c>
      <c r="D127" s="17" t="s">
        <v>41</v>
      </c>
      <c r="E127" s="14" t="s">
        <v>69</v>
      </c>
      <c r="F127" s="17" t="s">
        <v>10</v>
      </c>
      <c r="G127" s="17" t="s">
        <v>51</v>
      </c>
      <c r="H127" s="13" t="s">
        <v>264</v>
      </c>
      <c r="I127" s="13" t="s">
        <v>318</v>
      </c>
    </row>
    <row r="128" customFormat="false" ht="15" hidden="false" customHeight="false" outlineLevel="0" collapsed="false">
      <c r="A128" s="12" t="n">
        <v>127</v>
      </c>
      <c r="B128" s="13" t="s">
        <v>22</v>
      </c>
      <c r="C128" s="13" t="s">
        <v>322</v>
      </c>
      <c r="D128" s="17" t="s">
        <v>41</v>
      </c>
      <c r="E128" s="14" t="s">
        <v>69</v>
      </c>
      <c r="F128" s="17" t="s">
        <v>10</v>
      </c>
      <c r="G128" s="17" t="s">
        <v>51</v>
      </c>
      <c r="H128" s="13" t="s">
        <v>264</v>
      </c>
      <c r="I128" s="13" t="s">
        <v>318</v>
      </c>
    </row>
    <row r="129" customFormat="false" ht="15" hidden="false" customHeight="false" outlineLevel="0" collapsed="false">
      <c r="A129" s="12" t="n">
        <v>128</v>
      </c>
      <c r="B129" s="13" t="s">
        <v>22</v>
      </c>
      <c r="C129" s="13" t="s">
        <v>323</v>
      </c>
      <c r="D129" s="17" t="s">
        <v>41</v>
      </c>
      <c r="E129" s="14" t="s">
        <v>69</v>
      </c>
      <c r="F129" s="17" t="s">
        <v>10</v>
      </c>
      <c r="G129" s="17" t="s">
        <v>51</v>
      </c>
      <c r="H129" s="13" t="s">
        <v>264</v>
      </c>
      <c r="I129" s="13" t="s">
        <v>318</v>
      </c>
    </row>
    <row r="130" customFormat="false" ht="15" hidden="false" customHeight="false" outlineLevel="0" collapsed="false">
      <c r="A130" s="12" t="n">
        <v>129</v>
      </c>
      <c r="B130" s="13" t="s">
        <v>22</v>
      </c>
      <c r="C130" s="13" t="s">
        <v>324</v>
      </c>
      <c r="D130" s="17" t="s">
        <v>43</v>
      </c>
      <c r="E130" s="14" t="s">
        <v>69</v>
      </c>
      <c r="F130" s="17" t="s">
        <v>10</v>
      </c>
      <c r="G130" s="17" t="s">
        <v>53</v>
      </c>
      <c r="H130" s="13" t="s">
        <v>264</v>
      </c>
      <c r="I130" s="13" t="s">
        <v>318</v>
      </c>
    </row>
    <row r="131" customFormat="false" ht="15" hidden="false" customHeight="false" outlineLevel="0" collapsed="false">
      <c r="A131" s="12" t="n">
        <v>130</v>
      </c>
      <c r="B131" s="13" t="s">
        <v>22</v>
      </c>
      <c r="C131" s="13" t="s">
        <v>325</v>
      </c>
      <c r="D131" s="17" t="s">
        <v>43</v>
      </c>
      <c r="E131" s="14" t="s">
        <v>69</v>
      </c>
      <c r="F131" s="17" t="s">
        <v>10</v>
      </c>
      <c r="G131" s="17" t="s">
        <v>51</v>
      </c>
      <c r="H131" s="13" t="s">
        <v>264</v>
      </c>
      <c r="I131" s="13" t="s">
        <v>318</v>
      </c>
    </row>
    <row r="132" customFormat="false" ht="15" hidden="false" customHeight="false" outlineLevel="0" collapsed="false">
      <c r="A132" s="12" t="n">
        <v>131</v>
      </c>
      <c r="B132" s="13" t="s">
        <v>22</v>
      </c>
      <c r="C132" s="13" t="s">
        <v>326</v>
      </c>
      <c r="D132" s="17" t="s">
        <v>43</v>
      </c>
      <c r="E132" s="14" t="s">
        <v>69</v>
      </c>
      <c r="F132" s="17" t="s">
        <v>10</v>
      </c>
      <c r="G132" s="17" t="s">
        <v>53</v>
      </c>
      <c r="H132" s="13" t="s">
        <v>264</v>
      </c>
      <c r="I132" s="13" t="s">
        <v>318</v>
      </c>
    </row>
    <row r="133" customFormat="false" ht="15" hidden="false" customHeight="false" outlineLevel="0" collapsed="false">
      <c r="A133" s="12" t="n">
        <v>132</v>
      </c>
      <c r="B133" s="13" t="s">
        <v>22</v>
      </c>
      <c r="C133" s="13" t="s">
        <v>327</v>
      </c>
      <c r="D133" s="17" t="s">
        <v>45</v>
      </c>
      <c r="E133" s="14" t="s">
        <v>69</v>
      </c>
      <c r="F133" s="17" t="s">
        <v>10</v>
      </c>
      <c r="G133" s="17" t="s">
        <v>53</v>
      </c>
      <c r="H133" s="13" t="s">
        <v>264</v>
      </c>
      <c r="I133" s="13" t="s">
        <v>318</v>
      </c>
    </row>
    <row r="134" customFormat="false" ht="15" hidden="false" customHeight="false" outlineLevel="0" collapsed="false">
      <c r="A134" s="12" t="n">
        <v>133</v>
      </c>
      <c r="B134" s="13" t="s">
        <v>23</v>
      </c>
      <c r="C134" s="13" t="s">
        <v>328</v>
      </c>
      <c r="D134" s="17" t="s">
        <v>41</v>
      </c>
      <c r="E134" s="14" t="s">
        <v>69</v>
      </c>
      <c r="F134" s="17" t="s">
        <v>10</v>
      </c>
      <c r="G134" s="17" t="s">
        <v>51</v>
      </c>
      <c r="H134" s="13" t="s">
        <v>210</v>
      </c>
      <c r="I134" s="13"/>
    </row>
    <row r="135" customFormat="false" ht="15" hidden="false" customHeight="false" outlineLevel="0" collapsed="false">
      <c r="A135" s="12" t="n">
        <v>134</v>
      </c>
      <c r="B135" s="13" t="s">
        <v>23</v>
      </c>
      <c r="C135" s="13" t="s">
        <v>329</v>
      </c>
      <c r="D135" s="17" t="s">
        <v>41</v>
      </c>
      <c r="E135" s="14" t="s">
        <v>69</v>
      </c>
      <c r="F135" s="17" t="s">
        <v>10</v>
      </c>
      <c r="G135" s="17" t="s">
        <v>51</v>
      </c>
      <c r="H135" s="13" t="s">
        <v>210</v>
      </c>
      <c r="I135" s="13"/>
    </row>
    <row r="136" customFormat="false" ht="15" hidden="false" customHeight="false" outlineLevel="0" collapsed="false">
      <c r="A136" s="12" t="n">
        <v>135</v>
      </c>
      <c r="B136" s="13" t="s">
        <v>23</v>
      </c>
      <c r="C136" s="13" t="s">
        <v>330</v>
      </c>
      <c r="D136" s="17" t="s">
        <v>41</v>
      </c>
      <c r="E136" s="14" t="s">
        <v>69</v>
      </c>
      <c r="F136" s="17" t="s">
        <v>10</v>
      </c>
      <c r="G136" s="17" t="s">
        <v>53</v>
      </c>
      <c r="H136" s="13" t="s">
        <v>210</v>
      </c>
      <c r="I136" s="13"/>
    </row>
    <row r="137" customFormat="false" ht="15" hidden="false" customHeight="false" outlineLevel="0" collapsed="false">
      <c r="A137" s="12" t="n">
        <v>136</v>
      </c>
      <c r="B137" s="13" t="s">
        <v>23</v>
      </c>
      <c r="C137" s="13" t="s">
        <v>331</v>
      </c>
      <c r="D137" s="17" t="s">
        <v>41</v>
      </c>
      <c r="E137" s="14" t="s">
        <v>69</v>
      </c>
      <c r="F137" s="17" t="s">
        <v>10</v>
      </c>
      <c r="G137" s="17" t="s">
        <v>51</v>
      </c>
      <c r="H137" s="13" t="s">
        <v>210</v>
      </c>
      <c r="I137" s="13"/>
    </row>
    <row r="138" customFormat="false" ht="15" hidden="false" customHeight="false" outlineLevel="0" collapsed="false">
      <c r="A138" s="12" t="n">
        <v>137</v>
      </c>
      <c r="B138" s="13" t="s">
        <v>23</v>
      </c>
      <c r="C138" s="13" t="s">
        <v>332</v>
      </c>
      <c r="D138" s="17" t="s">
        <v>41</v>
      </c>
      <c r="E138" s="14" t="s">
        <v>69</v>
      </c>
      <c r="F138" s="17" t="s">
        <v>10</v>
      </c>
      <c r="G138" s="17" t="s">
        <v>51</v>
      </c>
      <c r="H138" s="13" t="s">
        <v>210</v>
      </c>
      <c r="I138" s="13"/>
    </row>
    <row r="139" customFormat="false" ht="15" hidden="false" customHeight="false" outlineLevel="0" collapsed="false">
      <c r="A139" s="12" t="n">
        <v>138</v>
      </c>
      <c r="B139" s="13" t="s">
        <v>23</v>
      </c>
      <c r="C139" s="13" t="s">
        <v>333</v>
      </c>
      <c r="D139" s="17" t="s">
        <v>41</v>
      </c>
      <c r="E139" s="14" t="s">
        <v>69</v>
      </c>
      <c r="F139" s="17" t="s">
        <v>10</v>
      </c>
      <c r="G139" s="17" t="s">
        <v>51</v>
      </c>
      <c r="H139" s="13" t="s">
        <v>210</v>
      </c>
      <c r="I139" s="13"/>
    </row>
    <row r="140" customFormat="false" ht="23.85" hidden="false" customHeight="false" outlineLevel="0" collapsed="false">
      <c r="A140" s="12" t="n">
        <v>139</v>
      </c>
      <c r="B140" s="13" t="s">
        <v>23</v>
      </c>
      <c r="C140" s="13" t="s">
        <v>334</v>
      </c>
      <c r="D140" s="17" t="s">
        <v>41</v>
      </c>
      <c r="E140" s="14" t="s">
        <v>69</v>
      </c>
      <c r="F140" s="17" t="s">
        <v>8</v>
      </c>
      <c r="G140" s="17" t="s">
        <v>51</v>
      </c>
      <c r="H140" s="13" t="s">
        <v>210</v>
      </c>
      <c r="I140" s="13" t="s">
        <v>335</v>
      </c>
    </row>
    <row r="141" customFormat="false" ht="15" hidden="false" customHeight="false" outlineLevel="0" collapsed="false">
      <c r="A141" s="12" t="n">
        <v>140</v>
      </c>
      <c r="B141" s="13" t="s">
        <v>23</v>
      </c>
      <c r="C141" s="13" t="s">
        <v>336</v>
      </c>
      <c r="D141" s="17" t="s">
        <v>41</v>
      </c>
      <c r="E141" s="14" t="s">
        <v>69</v>
      </c>
      <c r="F141" s="17" t="s">
        <v>7</v>
      </c>
      <c r="G141" s="17" t="s">
        <v>51</v>
      </c>
      <c r="H141" s="13" t="s">
        <v>210</v>
      </c>
      <c r="I141" s="13" t="s">
        <v>337</v>
      </c>
    </row>
    <row r="142" customFormat="false" ht="15" hidden="false" customHeight="false" outlineLevel="0" collapsed="false">
      <c r="A142" s="12" t="n">
        <v>141</v>
      </c>
      <c r="B142" s="13" t="s">
        <v>23</v>
      </c>
      <c r="C142" s="13" t="s">
        <v>338</v>
      </c>
      <c r="D142" s="17" t="s">
        <v>41</v>
      </c>
      <c r="E142" s="14" t="s">
        <v>69</v>
      </c>
      <c r="F142" s="17" t="s">
        <v>10</v>
      </c>
      <c r="G142" s="17" t="s">
        <v>51</v>
      </c>
      <c r="H142" s="13" t="s">
        <v>210</v>
      </c>
      <c r="I142" s="13"/>
    </row>
    <row r="143" customFormat="false" ht="15" hidden="false" customHeight="false" outlineLevel="0" collapsed="false">
      <c r="A143" s="12" t="n">
        <v>142</v>
      </c>
      <c r="B143" s="13" t="s">
        <v>23</v>
      </c>
      <c r="C143" s="13" t="s">
        <v>339</v>
      </c>
      <c r="D143" s="17" t="s">
        <v>43</v>
      </c>
      <c r="E143" s="14" t="s">
        <v>69</v>
      </c>
      <c r="F143" s="17" t="s">
        <v>10</v>
      </c>
      <c r="G143" s="17" t="s">
        <v>53</v>
      </c>
      <c r="H143" s="13" t="s">
        <v>210</v>
      </c>
      <c r="I143" s="13"/>
    </row>
    <row r="144" customFormat="false" ht="15" hidden="false" customHeight="false" outlineLevel="0" collapsed="false">
      <c r="A144" s="12" t="n">
        <v>143</v>
      </c>
      <c r="B144" s="13" t="s">
        <v>23</v>
      </c>
      <c r="C144" s="13" t="s">
        <v>340</v>
      </c>
      <c r="D144" s="17" t="s">
        <v>43</v>
      </c>
      <c r="E144" s="14" t="s">
        <v>69</v>
      </c>
      <c r="F144" s="17" t="s">
        <v>10</v>
      </c>
      <c r="G144" s="17" t="s">
        <v>53</v>
      </c>
      <c r="H144" s="13" t="s">
        <v>210</v>
      </c>
      <c r="I144" s="13"/>
    </row>
    <row r="145" customFormat="false" ht="15" hidden="false" customHeight="false" outlineLevel="0" collapsed="false">
      <c r="A145" s="12" t="n">
        <v>144</v>
      </c>
      <c r="B145" s="13" t="s">
        <v>23</v>
      </c>
      <c r="C145" s="13" t="s">
        <v>341</v>
      </c>
      <c r="D145" s="17" t="s">
        <v>43</v>
      </c>
      <c r="E145" s="14" t="s">
        <v>69</v>
      </c>
      <c r="F145" s="17" t="s">
        <v>10</v>
      </c>
      <c r="G145" s="17" t="s">
        <v>53</v>
      </c>
      <c r="H145" s="13" t="s">
        <v>210</v>
      </c>
      <c r="I145" s="13"/>
    </row>
    <row r="146" customFormat="false" ht="15" hidden="false" customHeight="false" outlineLevel="0" collapsed="false">
      <c r="A146" s="12" t="n">
        <v>145</v>
      </c>
      <c r="B146" s="13" t="s">
        <v>23</v>
      </c>
      <c r="C146" s="13" t="s">
        <v>342</v>
      </c>
      <c r="D146" s="17" t="s">
        <v>43</v>
      </c>
      <c r="E146" s="14" t="s">
        <v>69</v>
      </c>
      <c r="F146" s="17" t="s">
        <v>10</v>
      </c>
      <c r="G146" s="17" t="s">
        <v>53</v>
      </c>
      <c r="H146" s="13" t="s">
        <v>210</v>
      </c>
      <c r="I146" s="13"/>
    </row>
    <row r="147" customFormat="false" ht="15" hidden="false" customHeight="false" outlineLevel="0" collapsed="false">
      <c r="A147" s="12" t="n">
        <v>146</v>
      </c>
      <c r="B147" s="13" t="s">
        <v>23</v>
      </c>
      <c r="C147" s="13" t="s">
        <v>343</v>
      </c>
      <c r="D147" s="17" t="s">
        <v>43</v>
      </c>
      <c r="E147" s="14" t="s">
        <v>69</v>
      </c>
      <c r="F147" s="17" t="s">
        <v>8</v>
      </c>
      <c r="G147" s="17" t="s">
        <v>51</v>
      </c>
      <c r="H147" s="13" t="s">
        <v>210</v>
      </c>
      <c r="I147" s="13" t="s">
        <v>344</v>
      </c>
    </row>
    <row r="148" customFormat="false" ht="15" hidden="false" customHeight="false" outlineLevel="0" collapsed="false">
      <c r="A148" s="12" t="n">
        <v>147</v>
      </c>
      <c r="B148" s="13" t="s">
        <v>23</v>
      </c>
      <c r="C148" s="13" t="s">
        <v>345</v>
      </c>
      <c r="D148" s="17" t="s">
        <v>43</v>
      </c>
      <c r="E148" s="14" t="s">
        <v>69</v>
      </c>
      <c r="F148" s="17" t="s">
        <v>10</v>
      </c>
      <c r="G148" s="17" t="s">
        <v>53</v>
      </c>
      <c r="H148" s="13" t="s">
        <v>210</v>
      </c>
      <c r="I148" s="13"/>
    </row>
    <row r="149" customFormat="false" ht="15" hidden="false" customHeight="false" outlineLevel="0" collapsed="false">
      <c r="A149" s="12" t="n">
        <v>148</v>
      </c>
      <c r="B149" s="13" t="s">
        <v>23</v>
      </c>
      <c r="C149" s="13" t="s">
        <v>346</v>
      </c>
      <c r="D149" s="17" t="s">
        <v>43</v>
      </c>
      <c r="E149" s="14" t="s">
        <v>69</v>
      </c>
      <c r="F149" s="17" t="s">
        <v>10</v>
      </c>
      <c r="G149" s="17" t="s">
        <v>51</v>
      </c>
      <c r="H149" s="13" t="s">
        <v>210</v>
      </c>
      <c r="I149" s="13"/>
    </row>
    <row r="150" customFormat="false" ht="15" hidden="false" customHeight="false" outlineLevel="0" collapsed="false">
      <c r="A150" s="12" t="n">
        <v>149</v>
      </c>
      <c r="B150" s="13" t="s">
        <v>23</v>
      </c>
      <c r="C150" s="13" t="s">
        <v>347</v>
      </c>
      <c r="D150" s="17" t="s">
        <v>45</v>
      </c>
      <c r="E150" s="14" t="s">
        <v>69</v>
      </c>
      <c r="F150" s="17" t="s">
        <v>10</v>
      </c>
      <c r="G150" s="17" t="s">
        <v>53</v>
      </c>
      <c r="H150" s="13" t="s">
        <v>210</v>
      </c>
      <c r="I150" s="13"/>
    </row>
    <row r="151" customFormat="false" ht="15" hidden="false" customHeight="false" outlineLevel="0" collapsed="false">
      <c r="A151" s="12" t="n">
        <v>150</v>
      </c>
      <c r="B151" s="13" t="s">
        <v>23</v>
      </c>
      <c r="C151" s="13" t="s">
        <v>348</v>
      </c>
      <c r="D151" s="17" t="s">
        <v>45</v>
      </c>
      <c r="E151" s="14" t="s">
        <v>69</v>
      </c>
      <c r="F151" s="17" t="s">
        <v>10</v>
      </c>
      <c r="G151" s="17" t="s">
        <v>53</v>
      </c>
      <c r="H151" s="13" t="s">
        <v>210</v>
      </c>
      <c r="I151" s="13"/>
    </row>
    <row r="152" customFormat="false" ht="15" hidden="false" customHeight="false" outlineLevel="0" collapsed="false">
      <c r="A152" s="12" t="n">
        <v>151</v>
      </c>
      <c r="B152" s="13" t="s">
        <v>24</v>
      </c>
      <c r="C152" s="13" t="s">
        <v>349</v>
      </c>
      <c r="D152" s="17" t="s">
        <v>41</v>
      </c>
      <c r="E152" s="14" t="s">
        <v>69</v>
      </c>
      <c r="F152" s="17" t="s">
        <v>7</v>
      </c>
      <c r="G152" s="17" t="s">
        <v>15</v>
      </c>
      <c r="H152" s="13" t="s">
        <v>135</v>
      </c>
      <c r="I152" s="13" t="s">
        <v>350</v>
      </c>
    </row>
    <row r="153" customFormat="false" ht="15" hidden="false" customHeight="false" outlineLevel="0" collapsed="false">
      <c r="A153" s="12" t="n">
        <v>152</v>
      </c>
      <c r="B153" s="13" t="s">
        <v>24</v>
      </c>
      <c r="C153" s="13" t="s">
        <v>351</v>
      </c>
      <c r="D153" s="17" t="s">
        <v>41</v>
      </c>
      <c r="E153" s="14" t="s">
        <v>69</v>
      </c>
      <c r="F153" s="17" t="s">
        <v>7</v>
      </c>
      <c r="G153" s="17" t="s">
        <v>53</v>
      </c>
      <c r="H153" s="13" t="s">
        <v>135</v>
      </c>
      <c r="I153" s="13" t="s">
        <v>352</v>
      </c>
    </row>
    <row r="154" customFormat="false" ht="15" hidden="false" customHeight="false" outlineLevel="0" collapsed="false">
      <c r="A154" s="12" t="n">
        <v>153</v>
      </c>
      <c r="B154" s="13" t="s">
        <v>24</v>
      </c>
      <c r="C154" s="13" t="s">
        <v>353</v>
      </c>
      <c r="D154" s="17" t="s">
        <v>41</v>
      </c>
      <c r="E154" s="14" t="s">
        <v>69</v>
      </c>
      <c r="F154" s="17" t="s">
        <v>6</v>
      </c>
      <c r="G154" s="17" t="s">
        <v>53</v>
      </c>
      <c r="H154" s="13" t="s">
        <v>135</v>
      </c>
      <c r="I154" s="13" t="s">
        <v>354</v>
      </c>
    </row>
    <row r="155" customFormat="false" ht="15" hidden="false" customHeight="false" outlineLevel="0" collapsed="false">
      <c r="A155" s="12" t="n">
        <v>154</v>
      </c>
      <c r="B155" s="13" t="s">
        <v>24</v>
      </c>
      <c r="C155" s="13" t="s">
        <v>355</v>
      </c>
      <c r="D155" s="17" t="s">
        <v>41</v>
      </c>
      <c r="E155" s="14" t="s">
        <v>69</v>
      </c>
      <c r="F155" s="17" t="s">
        <v>6</v>
      </c>
      <c r="G155" s="17" t="s">
        <v>53</v>
      </c>
      <c r="H155" s="13" t="s">
        <v>135</v>
      </c>
      <c r="I155" s="13" t="s">
        <v>356</v>
      </c>
    </row>
    <row r="156" customFormat="false" ht="15" hidden="false" customHeight="false" outlineLevel="0" collapsed="false">
      <c r="A156" s="12" t="n">
        <v>155</v>
      </c>
      <c r="B156" s="13" t="s">
        <v>24</v>
      </c>
      <c r="C156" s="13" t="s">
        <v>357</v>
      </c>
      <c r="D156" s="17" t="s">
        <v>41</v>
      </c>
      <c r="E156" s="14" t="s">
        <v>69</v>
      </c>
      <c r="F156" s="17" t="s">
        <v>6</v>
      </c>
      <c r="G156" s="17" t="s">
        <v>53</v>
      </c>
      <c r="H156" s="13" t="s">
        <v>135</v>
      </c>
      <c r="I156" s="13" t="s">
        <v>358</v>
      </c>
    </row>
    <row r="157" customFormat="false" ht="15" hidden="false" customHeight="false" outlineLevel="0" collapsed="false">
      <c r="A157" s="12" t="n">
        <v>156</v>
      </c>
      <c r="B157" s="13" t="s">
        <v>24</v>
      </c>
      <c r="C157" s="13" t="s">
        <v>359</v>
      </c>
      <c r="D157" s="17" t="s">
        <v>43</v>
      </c>
      <c r="E157" s="14" t="s">
        <v>69</v>
      </c>
      <c r="F157" s="17" t="s">
        <v>7</v>
      </c>
      <c r="G157" s="17" t="s">
        <v>51</v>
      </c>
      <c r="H157" s="13" t="s">
        <v>135</v>
      </c>
      <c r="I157" s="13" t="s">
        <v>360</v>
      </c>
    </row>
    <row r="158" customFormat="false" ht="15" hidden="false" customHeight="false" outlineLevel="0" collapsed="false">
      <c r="A158" s="12" t="n">
        <v>157</v>
      </c>
      <c r="B158" s="13" t="s">
        <v>24</v>
      </c>
      <c r="C158" s="13" t="s">
        <v>361</v>
      </c>
      <c r="D158" s="17" t="s">
        <v>43</v>
      </c>
      <c r="E158" s="14" t="s">
        <v>69</v>
      </c>
      <c r="F158" s="17" t="s">
        <v>10</v>
      </c>
      <c r="G158" s="17" t="s">
        <v>51</v>
      </c>
      <c r="H158" s="13" t="s">
        <v>135</v>
      </c>
      <c r="I158" s="13" t="s">
        <v>362</v>
      </c>
    </row>
    <row r="159" customFormat="false" ht="15" hidden="false" customHeight="false" outlineLevel="0" collapsed="false">
      <c r="A159" s="12" t="n">
        <v>158</v>
      </c>
      <c r="B159" s="13" t="s">
        <v>24</v>
      </c>
      <c r="C159" s="13" t="s">
        <v>363</v>
      </c>
      <c r="D159" s="17" t="s">
        <v>43</v>
      </c>
      <c r="E159" s="14" t="s">
        <v>69</v>
      </c>
      <c r="F159" s="17" t="s">
        <v>6</v>
      </c>
      <c r="G159" s="17" t="s">
        <v>53</v>
      </c>
      <c r="H159" s="13" t="s">
        <v>135</v>
      </c>
      <c r="I159" s="13" t="s">
        <v>364</v>
      </c>
    </row>
    <row r="160" customFormat="false" ht="15" hidden="false" customHeight="false" outlineLevel="0" collapsed="false">
      <c r="A160" s="12" t="n">
        <v>159</v>
      </c>
      <c r="B160" s="13" t="s">
        <v>24</v>
      </c>
      <c r="C160" s="13" t="s">
        <v>365</v>
      </c>
      <c r="D160" s="17" t="s">
        <v>41</v>
      </c>
      <c r="E160" s="14" t="s">
        <v>69</v>
      </c>
      <c r="F160" s="17" t="s">
        <v>10</v>
      </c>
      <c r="G160" s="17" t="s">
        <v>51</v>
      </c>
      <c r="H160" s="13" t="s">
        <v>135</v>
      </c>
      <c r="I160" s="13"/>
    </row>
    <row r="161" customFormat="false" ht="15" hidden="false" customHeight="false" outlineLevel="0" collapsed="false">
      <c r="A161" s="12" t="n">
        <v>160</v>
      </c>
      <c r="B161" s="13" t="s">
        <v>24</v>
      </c>
      <c r="C161" s="13" t="s">
        <v>366</v>
      </c>
      <c r="D161" s="17" t="s">
        <v>41</v>
      </c>
      <c r="E161" s="14" t="s">
        <v>69</v>
      </c>
      <c r="F161" s="17" t="s">
        <v>6</v>
      </c>
      <c r="G161" s="17" t="s">
        <v>53</v>
      </c>
      <c r="H161" s="13" t="s">
        <v>135</v>
      </c>
      <c r="I161" s="13" t="s">
        <v>367</v>
      </c>
    </row>
    <row r="162" customFormat="false" ht="15" hidden="false" customHeight="false" outlineLevel="0" collapsed="false">
      <c r="A162" s="12" t="n">
        <v>161</v>
      </c>
      <c r="B162" s="13" t="s">
        <v>24</v>
      </c>
      <c r="C162" s="13" t="s">
        <v>368</v>
      </c>
      <c r="D162" s="17" t="s">
        <v>41</v>
      </c>
      <c r="E162" s="14" t="s">
        <v>69</v>
      </c>
      <c r="F162" s="17" t="s">
        <v>7</v>
      </c>
      <c r="G162" s="17" t="s">
        <v>53</v>
      </c>
      <c r="H162" s="13" t="s">
        <v>135</v>
      </c>
      <c r="I162" s="13" t="s">
        <v>369</v>
      </c>
    </row>
    <row r="163" customFormat="false" ht="15" hidden="false" customHeight="false" outlineLevel="0" collapsed="false">
      <c r="A163" s="12" t="n">
        <v>162</v>
      </c>
      <c r="B163" s="13" t="s">
        <v>24</v>
      </c>
      <c r="C163" s="13" t="s">
        <v>370</v>
      </c>
      <c r="D163" s="17" t="s">
        <v>41</v>
      </c>
      <c r="E163" s="14" t="s">
        <v>69</v>
      </c>
      <c r="F163" s="17" t="s">
        <v>7</v>
      </c>
      <c r="G163" s="17" t="s">
        <v>51</v>
      </c>
      <c r="H163" s="13" t="s">
        <v>135</v>
      </c>
      <c r="I163" s="13" t="s">
        <v>371</v>
      </c>
    </row>
    <row r="164" customFormat="false" ht="15" hidden="false" customHeight="false" outlineLevel="0" collapsed="false">
      <c r="A164" s="12" t="n">
        <v>163</v>
      </c>
      <c r="B164" s="13" t="s">
        <v>24</v>
      </c>
      <c r="C164" s="13" t="s">
        <v>372</v>
      </c>
      <c r="D164" s="17" t="s">
        <v>41</v>
      </c>
      <c r="E164" s="14" t="s">
        <v>69</v>
      </c>
      <c r="F164" s="17" t="s">
        <v>7</v>
      </c>
      <c r="G164" s="17" t="s">
        <v>51</v>
      </c>
      <c r="H164" s="13" t="s">
        <v>135</v>
      </c>
      <c r="I164" s="13" t="s">
        <v>373</v>
      </c>
    </row>
    <row r="165" customFormat="false" ht="15" hidden="false" customHeight="false" outlineLevel="0" collapsed="false">
      <c r="A165" s="12" t="n">
        <v>164</v>
      </c>
      <c r="B165" s="13" t="s">
        <v>24</v>
      </c>
      <c r="C165" s="13" t="s">
        <v>374</v>
      </c>
      <c r="D165" s="17" t="s">
        <v>43</v>
      </c>
      <c r="E165" s="14" t="s">
        <v>69</v>
      </c>
      <c r="F165" s="17" t="s">
        <v>8</v>
      </c>
      <c r="G165" s="17" t="s">
        <v>51</v>
      </c>
      <c r="H165" s="13" t="s">
        <v>135</v>
      </c>
      <c r="I165" s="13" t="s">
        <v>375</v>
      </c>
    </row>
    <row r="166" customFormat="false" ht="15" hidden="false" customHeight="false" outlineLevel="0" collapsed="false">
      <c r="A166" s="12" t="n">
        <v>165</v>
      </c>
      <c r="B166" s="13" t="s">
        <v>24</v>
      </c>
      <c r="C166" s="13" t="s">
        <v>376</v>
      </c>
      <c r="D166" s="17" t="s">
        <v>43</v>
      </c>
      <c r="E166" s="14" t="s">
        <v>69</v>
      </c>
      <c r="F166" s="17" t="s">
        <v>9</v>
      </c>
      <c r="G166" s="17" t="s">
        <v>51</v>
      </c>
      <c r="H166" s="13" t="s">
        <v>377</v>
      </c>
      <c r="I166" s="13" t="s">
        <v>378</v>
      </c>
    </row>
    <row r="167" customFormat="false" ht="15" hidden="false" customHeight="false" outlineLevel="0" collapsed="false">
      <c r="A167" s="12" t="n">
        <v>166</v>
      </c>
      <c r="B167" s="13" t="s">
        <v>24</v>
      </c>
      <c r="C167" s="13" t="s">
        <v>379</v>
      </c>
      <c r="D167" s="17" t="s">
        <v>45</v>
      </c>
      <c r="E167" s="14" t="s">
        <v>69</v>
      </c>
      <c r="F167" s="17" t="s">
        <v>10</v>
      </c>
      <c r="G167" s="17" t="s">
        <v>53</v>
      </c>
      <c r="H167" s="13" t="s">
        <v>377</v>
      </c>
      <c r="I167" s="13"/>
    </row>
    <row r="168" customFormat="false" ht="23.85" hidden="false" customHeight="false" outlineLevel="0" collapsed="false">
      <c r="A168" s="12" t="n">
        <v>167</v>
      </c>
      <c r="B168" s="13" t="s">
        <v>25</v>
      </c>
      <c r="C168" s="13" t="s">
        <v>380</v>
      </c>
      <c r="D168" s="17" t="s">
        <v>41</v>
      </c>
      <c r="E168" s="14" t="s">
        <v>69</v>
      </c>
      <c r="F168" s="17" t="s">
        <v>10</v>
      </c>
      <c r="G168" s="17" t="s">
        <v>51</v>
      </c>
      <c r="H168" s="13" t="s">
        <v>309</v>
      </c>
      <c r="I168" s="13" t="s">
        <v>381</v>
      </c>
    </row>
    <row r="169" customFormat="false" ht="15" hidden="false" customHeight="false" outlineLevel="0" collapsed="false">
      <c r="A169" s="12" t="n">
        <v>168</v>
      </c>
      <c r="B169" s="13" t="s">
        <v>25</v>
      </c>
      <c r="C169" s="13" t="s">
        <v>382</v>
      </c>
      <c r="D169" s="17" t="s">
        <v>41</v>
      </c>
      <c r="E169" s="14" t="s">
        <v>69</v>
      </c>
      <c r="F169" s="17" t="s">
        <v>10</v>
      </c>
      <c r="G169" s="17" t="s">
        <v>51</v>
      </c>
      <c r="H169" s="13" t="s">
        <v>309</v>
      </c>
      <c r="I169" s="13"/>
    </row>
    <row r="170" customFormat="false" ht="15" hidden="false" customHeight="false" outlineLevel="0" collapsed="false">
      <c r="A170" s="12" t="n">
        <v>169</v>
      </c>
      <c r="B170" s="13" t="s">
        <v>25</v>
      </c>
      <c r="C170" s="13" t="s">
        <v>383</v>
      </c>
      <c r="D170" s="17" t="s">
        <v>41</v>
      </c>
      <c r="E170" s="14" t="s">
        <v>69</v>
      </c>
      <c r="F170" s="17" t="s">
        <v>10</v>
      </c>
      <c r="G170" s="17" t="s">
        <v>51</v>
      </c>
      <c r="H170" s="13" t="s">
        <v>309</v>
      </c>
      <c r="I170" s="13"/>
    </row>
    <row r="171" customFormat="false" ht="15" hidden="false" customHeight="false" outlineLevel="0" collapsed="false">
      <c r="A171" s="12" t="n">
        <v>170</v>
      </c>
      <c r="B171" s="13" t="s">
        <v>25</v>
      </c>
      <c r="C171" s="13" t="s">
        <v>384</v>
      </c>
      <c r="D171" s="17" t="s">
        <v>41</v>
      </c>
      <c r="E171" s="14" t="s">
        <v>69</v>
      </c>
      <c r="F171" s="17" t="s">
        <v>10</v>
      </c>
      <c r="G171" s="17" t="s">
        <v>51</v>
      </c>
      <c r="H171" s="13" t="s">
        <v>309</v>
      </c>
      <c r="I171" s="13"/>
    </row>
    <row r="172" customFormat="false" ht="15" hidden="false" customHeight="false" outlineLevel="0" collapsed="false">
      <c r="A172" s="12" t="n">
        <v>171</v>
      </c>
      <c r="B172" s="13" t="s">
        <v>25</v>
      </c>
      <c r="C172" s="13" t="s">
        <v>385</v>
      </c>
      <c r="D172" s="17" t="s">
        <v>41</v>
      </c>
      <c r="E172" s="14" t="s">
        <v>69</v>
      </c>
      <c r="F172" s="17" t="s">
        <v>10</v>
      </c>
      <c r="G172" s="17" t="s">
        <v>51</v>
      </c>
      <c r="H172" s="13" t="s">
        <v>309</v>
      </c>
      <c r="I172" s="13"/>
    </row>
    <row r="173" customFormat="false" ht="15" hidden="false" customHeight="false" outlineLevel="0" collapsed="false">
      <c r="A173" s="12" t="n">
        <v>172</v>
      </c>
      <c r="B173" s="13" t="s">
        <v>25</v>
      </c>
      <c r="C173" s="13" t="s">
        <v>386</v>
      </c>
      <c r="D173" s="17" t="s">
        <v>41</v>
      </c>
      <c r="E173" s="14" t="s">
        <v>69</v>
      </c>
      <c r="F173" s="17" t="s">
        <v>10</v>
      </c>
      <c r="G173" s="17" t="s">
        <v>51</v>
      </c>
      <c r="H173" s="13" t="s">
        <v>309</v>
      </c>
      <c r="I173" s="13"/>
    </row>
    <row r="174" customFormat="false" ht="15" hidden="false" customHeight="false" outlineLevel="0" collapsed="false">
      <c r="A174" s="12" t="n">
        <v>173</v>
      </c>
      <c r="B174" s="13" t="s">
        <v>25</v>
      </c>
      <c r="C174" s="13" t="s">
        <v>387</v>
      </c>
      <c r="D174" s="17" t="s">
        <v>41</v>
      </c>
      <c r="E174" s="14" t="s">
        <v>69</v>
      </c>
      <c r="F174" s="17" t="s">
        <v>10</v>
      </c>
      <c r="G174" s="17" t="s">
        <v>51</v>
      </c>
      <c r="H174" s="13" t="s">
        <v>309</v>
      </c>
      <c r="I174" s="13"/>
    </row>
    <row r="175" customFormat="false" ht="15" hidden="false" customHeight="false" outlineLevel="0" collapsed="false">
      <c r="A175" s="12" t="n">
        <v>174</v>
      </c>
      <c r="B175" s="13" t="s">
        <v>25</v>
      </c>
      <c r="C175" s="13" t="s">
        <v>388</v>
      </c>
      <c r="D175" s="17" t="s">
        <v>43</v>
      </c>
      <c r="E175" s="14" t="s">
        <v>8</v>
      </c>
      <c r="F175" s="17" t="s">
        <v>10</v>
      </c>
      <c r="G175" s="17" t="s">
        <v>53</v>
      </c>
      <c r="H175" s="13" t="s">
        <v>309</v>
      </c>
      <c r="I175" s="13"/>
    </row>
    <row r="176" customFormat="false" ht="15" hidden="false" customHeight="false" outlineLevel="0" collapsed="false">
      <c r="A176" s="12" t="n">
        <v>175</v>
      </c>
      <c r="B176" s="13" t="s">
        <v>25</v>
      </c>
      <c r="C176" s="13" t="s">
        <v>389</v>
      </c>
      <c r="D176" s="17" t="s">
        <v>43</v>
      </c>
      <c r="E176" s="14" t="s">
        <v>8</v>
      </c>
      <c r="F176" s="17" t="s">
        <v>10</v>
      </c>
      <c r="G176" s="17" t="s">
        <v>51</v>
      </c>
      <c r="H176" s="13" t="s">
        <v>309</v>
      </c>
      <c r="I176" s="13"/>
    </row>
    <row r="177" customFormat="false" ht="15" hidden="false" customHeight="false" outlineLevel="0" collapsed="false">
      <c r="A177" s="12" t="n">
        <v>176</v>
      </c>
      <c r="B177" s="13" t="s">
        <v>25</v>
      </c>
      <c r="C177" s="13" t="s">
        <v>390</v>
      </c>
      <c r="D177" s="17" t="s">
        <v>43</v>
      </c>
      <c r="E177" s="14" t="s">
        <v>8</v>
      </c>
      <c r="F177" s="17" t="s">
        <v>10</v>
      </c>
      <c r="G177" s="17" t="s">
        <v>53</v>
      </c>
      <c r="H177" s="13" t="s">
        <v>309</v>
      </c>
      <c r="I177" s="13"/>
    </row>
    <row r="178" customFormat="false" ht="15" hidden="false" customHeight="false" outlineLevel="0" collapsed="false">
      <c r="A178" s="12" t="n">
        <v>177</v>
      </c>
      <c r="B178" s="13" t="s">
        <v>25</v>
      </c>
      <c r="C178" s="13" t="s">
        <v>391</v>
      </c>
      <c r="D178" s="17" t="s">
        <v>43</v>
      </c>
      <c r="E178" s="14" t="s">
        <v>8</v>
      </c>
      <c r="F178" s="17" t="s">
        <v>10</v>
      </c>
      <c r="G178" s="17" t="s">
        <v>53</v>
      </c>
      <c r="H178" s="13" t="s">
        <v>309</v>
      </c>
      <c r="I178" s="13"/>
    </row>
    <row r="179" customFormat="false" ht="15" hidden="false" customHeight="false" outlineLevel="0" collapsed="false">
      <c r="A179" s="12" t="n">
        <v>178</v>
      </c>
      <c r="B179" s="13" t="s">
        <v>25</v>
      </c>
      <c r="C179" s="13" t="s">
        <v>392</v>
      </c>
      <c r="D179" s="17" t="s">
        <v>43</v>
      </c>
      <c r="E179" s="14" t="s">
        <v>8</v>
      </c>
      <c r="F179" s="17" t="s">
        <v>10</v>
      </c>
      <c r="G179" s="17" t="s">
        <v>51</v>
      </c>
      <c r="H179" s="13" t="s">
        <v>309</v>
      </c>
      <c r="I179" s="13"/>
    </row>
    <row r="180" customFormat="false" ht="15" hidden="false" customHeight="false" outlineLevel="0" collapsed="false">
      <c r="A180" s="12" t="n">
        <v>179</v>
      </c>
      <c r="B180" s="13" t="s">
        <v>25</v>
      </c>
      <c r="C180" s="13" t="s">
        <v>393</v>
      </c>
      <c r="D180" s="17" t="s">
        <v>43</v>
      </c>
      <c r="E180" s="14" t="s">
        <v>8</v>
      </c>
      <c r="F180" s="17" t="s">
        <v>10</v>
      </c>
      <c r="G180" s="17" t="s">
        <v>53</v>
      </c>
      <c r="H180" s="13" t="s">
        <v>309</v>
      </c>
      <c r="I180" s="13"/>
    </row>
    <row r="181" customFormat="false" ht="15" hidden="false" customHeight="false" outlineLevel="0" collapsed="false">
      <c r="A181" s="12" t="n">
        <v>180</v>
      </c>
      <c r="B181" s="13" t="s">
        <v>25</v>
      </c>
      <c r="C181" s="13" t="s">
        <v>394</v>
      </c>
      <c r="D181" s="17" t="s">
        <v>43</v>
      </c>
      <c r="E181" s="14" t="s">
        <v>8</v>
      </c>
      <c r="F181" s="17" t="s">
        <v>10</v>
      </c>
      <c r="G181" s="17" t="s">
        <v>53</v>
      </c>
      <c r="H181" s="13" t="s">
        <v>309</v>
      </c>
      <c r="I181" s="13"/>
    </row>
    <row r="182" customFormat="false" ht="15" hidden="false" customHeight="false" outlineLevel="0" collapsed="false">
      <c r="A182" s="12" t="n">
        <v>181</v>
      </c>
      <c r="B182" s="13" t="s">
        <v>25</v>
      </c>
      <c r="C182" s="13" t="s">
        <v>395</v>
      </c>
      <c r="D182" s="17" t="s">
        <v>45</v>
      </c>
      <c r="E182" s="14" t="s">
        <v>8</v>
      </c>
      <c r="F182" s="17" t="s">
        <v>10</v>
      </c>
      <c r="G182" s="17" t="s">
        <v>53</v>
      </c>
      <c r="H182" s="13" t="s">
        <v>309</v>
      </c>
      <c r="I182" s="13"/>
    </row>
    <row r="183" customFormat="false" ht="15" hidden="false" customHeight="false" outlineLevel="0" collapsed="false">
      <c r="A183" s="12" t="n">
        <v>182</v>
      </c>
      <c r="B183" s="13" t="s">
        <v>25</v>
      </c>
      <c r="C183" s="13" t="s">
        <v>396</v>
      </c>
      <c r="D183" s="17" t="s">
        <v>45</v>
      </c>
      <c r="E183" s="14" t="s">
        <v>8</v>
      </c>
      <c r="F183" s="17" t="s">
        <v>10</v>
      </c>
      <c r="G183" s="17" t="s">
        <v>53</v>
      </c>
      <c r="H183" s="13" t="s">
        <v>309</v>
      </c>
      <c r="I183" s="13"/>
    </row>
    <row r="184" customFormat="false" ht="15" hidden="false" customHeight="false" outlineLevel="0" collapsed="false">
      <c r="A184" s="12" t="n">
        <v>183</v>
      </c>
      <c r="B184" s="13" t="s">
        <v>25</v>
      </c>
      <c r="C184" s="13" t="s">
        <v>397</v>
      </c>
      <c r="D184" s="17" t="s">
        <v>45</v>
      </c>
      <c r="E184" s="14" t="s">
        <v>8</v>
      </c>
      <c r="F184" s="17" t="s">
        <v>10</v>
      </c>
      <c r="G184" s="17" t="s">
        <v>53</v>
      </c>
      <c r="H184" s="13" t="s">
        <v>309</v>
      </c>
      <c r="I184" s="13"/>
    </row>
    <row r="185" customFormat="false" ht="15" hidden="false" customHeight="false" outlineLevel="0" collapsed="false">
      <c r="A185" s="12" t="n">
        <v>184</v>
      </c>
      <c r="B185" s="13" t="s">
        <v>25</v>
      </c>
      <c r="C185" s="13" t="s">
        <v>398</v>
      </c>
      <c r="D185" s="17" t="s">
        <v>45</v>
      </c>
      <c r="E185" s="14" t="s">
        <v>8</v>
      </c>
      <c r="F185" s="17" t="s">
        <v>10</v>
      </c>
      <c r="G185" s="17" t="s">
        <v>53</v>
      </c>
      <c r="H185" s="13" t="s">
        <v>309</v>
      </c>
      <c r="I185" s="13"/>
    </row>
    <row r="186" customFormat="false" ht="23.85" hidden="false" customHeight="false" outlineLevel="0" collapsed="false">
      <c r="A186" s="12" t="n">
        <v>185</v>
      </c>
      <c r="B186" s="13" t="s">
        <v>25</v>
      </c>
      <c r="C186" s="13" t="s">
        <v>399</v>
      </c>
      <c r="D186" s="17" t="s">
        <v>45</v>
      </c>
      <c r="E186" s="14" t="s">
        <v>112</v>
      </c>
      <c r="F186" s="17" t="s">
        <v>10</v>
      </c>
      <c r="G186" s="17" t="s">
        <v>51</v>
      </c>
      <c r="H186" s="13" t="s">
        <v>309</v>
      </c>
      <c r="I186" s="13" t="s">
        <v>400</v>
      </c>
    </row>
    <row r="187" customFormat="false" ht="15" hidden="false" customHeight="false" outlineLevel="0" collapsed="false">
      <c r="A187" s="12" t="n">
        <v>186</v>
      </c>
      <c r="B187" s="13" t="s">
        <v>26</v>
      </c>
      <c r="C187" s="13" t="s">
        <v>401</v>
      </c>
      <c r="D187" s="17" t="s">
        <v>41</v>
      </c>
      <c r="E187" s="14" t="s">
        <v>69</v>
      </c>
      <c r="F187" s="17" t="s">
        <v>10</v>
      </c>
      <c r="G187" s="17" t="s">
        <v>51</v>
      </c>
      <c r="H187" s="13" t="s">
        <v>402</v>
      </c>
      <c r="I187" s="13"/>
    </row>
    <row r="188" customFormat="false" ht="15" hidden="false" customHeight="false" outlineLevel="0" collapsed="false">
      <c r="A188" s="12" t="n">
        <v>187</v>
      </c>
      <c r="B188" s="13" t="s">
        <v>26</v>
      </c>
      <c r="C188" s="13" t="s">
        <v>403</v>
      </c>
      <c r="D188" s="17" t="s">
        <v>41</v>
      </c>
      <c r="E188" s="14" t="s">
        <v>69</v>
      </c>
      <c r="F188" s="17" t="s">
        <v>10</v>
      </c>
      <c r="G188" s="17" t="s">
        <v>51</v>
      </c>
      <c r="H188" s="13" t="s">
        <v>402</v>
      </c>
      <c r="I188" s="13"/>
    </row>
    <row r="189" customFormat="false" ht="23.85" hidden="false" customHeight="false" outlineLevel="0" collapsed="false">
      <c r="A189" s="12" t="n">
        <v>188</v>
      </c>
      <c r="B189" s="13" t="s">
        <v>26</v>
      </c>
      <c r="C189" s="13" t="s">
        <v>404</v>
      </c>
      <c r="D189" s="17" t="s">
        <v>41</v>
      </c>
      <c r="E189" s="14" t="s">
        <v>69</v>
      </c>
      <c r="F189" s="17" t="s">
        <v>10</v>
      </c>
      <c r="G189" s="17" t="s">
        <v>51</v>
      </c>
      <c r="H189" s="13" t="s">
        <v>402</v>
      </c>
      <c r="I189" s="13"/>
    </row>
    <row r="190" customFormat="false" ht="15" hidden="false" customHeight="false" outlineLevel="0" collapsed="false">
      <c r="A190" s="12" t="n">
        <v>189</v>
      </c>
      <c r="B190" s="13" t="s">
        <v>26</v>
      </c>
      <c r="C190" s="13" t="s">
        <v>405</v>
      </c>
      <c r="D190" s="17" t="s">
        <v>41</v>
      </c>
      <c r="E190" s="14" t="s">
        <v>69</v>
      </c>
      <c r="F190" s="17" t="s">
        <v>10</v>
      </c>
      <c r="G190" s="17" t="s">
        <v>51</v>
      </c>
      <c r="H190" s="13" t="s">
        <v>402</v>
      </c>
      <c r="I190" s="13"/>
    </row>
    <row r="191" customFormat="false" ht="15" hidden="false" customHeight="false" outlineLevel="0" collapsed="false">
      <c r="A191" s="12" t="n">
        <v>190</v>
      </c>
      <c r="B191" s="13" t="s">
        <v>26</v>
      </c>
      <c r="C191" s="13" t="s">
        <v>406</v>
      </c>
      <c r="D191" s="17" t="s">
        <v>41</v>
      </c>
      <c r="E191" s="14" t="s">
        <v>69</v>
      </c>
      <c r="F191" s="17" t="s">
        <v>10</v>
      </c>
      <c r="G191" s="17" t="s">
        <v>51</v>
      </c>
      <c r="H191" s="13" t="s">
        <v>402</v>
      </c>
      <c r="I191" s="13"/>
    </row>
    <row r="192" customFormat="false" ht="15" hidden="false" customHeight="false" outlineLevel="0" collapsed="false">
      <c r="A192" s="12" t="n">
        <v>191</v>
      </c>
      <c r="B192" s="13" t="s">
        <v>26</v>
      </c>
      <c r="C192" s="13" t="s">
        <v>407</v>
      </c>
      <c r="D192" s="17" t="s">
        <v>41</v>
      </c>
      <c r="E192" s="14" t="s">
        <v>69</v>
      </c>
      <c r="F192" s="17" t="s">
        <v>10</v>
      </c>
      <c r="G192" s="17" t="s">
        <v>51</v>
      </c>
      <c r="H192" s="13" t="s">
        <v>402</v>
      </c>
      <c r="I192" s="13"/>
    </row>
    <row r="193" customFormat="false" ht="15" hidden="false" customHeight="false" outlineLevel="0" collapsed="false">
      <c r="A193" s="12" t="n">
        <v>192</v>
      </c>
      <c r="B193" s="13" t="s">
        <v>26</v>
      </c>
      <c r="C193" s="13" t="s">
        <v>408</v>
      </c>
      <c r="D193" s="17" t="s">
        <v>41</v>
      </c>
      <c r="E193" s="14" t="s">
        <v>69</v>
      </c>
      <c r="F193" s="17" t="s">
        <v>10</v>
      </c>
      <c r="G193" s="17" t="s">
        <v>51</v>
      </c>
      <c r="H193" s="13" t="s">
        <v>402</v>
      </c>
      <c r="I193" s="13"/>
    </row>
    <row r="194" customFormat="false" ht="15" hidden="false" customHeight="false" outlineLevel="0" collapsed="false">
      <c r="A194" s="12" t="n">
        <v>193</v>
      </c>
      <c r="B194" s="13" t="s">
        <v>26</v>
      </c>
      <c r="C194" s="13" t="s">
        <v>409</v>
      </c>
      <c r="D194" s="17" t="s">
        <v>43</v>
      </c>
      <c r="E194" s="14" t="s">
        <v>69</v>
      </c>
      <c r="F194" s="17" t="s">
        <v>10</v>
      </c>
      <c r="G194" s="17" t="s">
        <v>51</v>
      </c>
      <c r="H194" s="13" t="s">
        <v>402</v>
      </c>
      <c r="I194" s="13"/>
    </row>
    <row r="195" customFormat="false" ht="15" hidden="false" customHeight="false" outlineLevel="0" collapsed="false">
      <c r="A195" s="12" t="n">
        <v>194</v>
      </c>
      <c r="B195" s="13" t="s">
        <v>26</v>
      </c>
      <c r="C195" s="13" t="s">
        <v>410</v>
      </c>
      <c r="D195" s="17" t="s">
        <v>43</v>
      </c>
      <c r="E195" s="14" t="s">
        <v>69</v>
      </c>
      <c r="F195" s="17" t="s">
        <v>10</v>
      </c>
      <c r="G195" s="17" t="s">
        <v>51</v>
      </c>
      <c r="H195" s="13" t="s">
        <v>402</v>
      </c>
      <c r="I195" s="13"/>
    </row>
    <row r="196" customFormat="false" ht="15" hidden="false" customHeight="false" outlineLevel="0" collapsed="false">
      <c r="A196" s="12" t="n">
        <v>195</v>
      </c>
      <c r="B196" s="13" t="s">
        <v>26</v>
      </c>
      <c r="C196" s="13" t="s">
        <v>411</v>
      </c>
      <c r="D196" s="17" t="s">
        <v>43</v>
      </c>
      <c r="E196" s="14" t="s">
        <v>69</v>
      </c>
      <c r="F196" s="17" t="s">
        <v>10</v>
      </c>
      <c r="G196" s="17" t="s">
        <v>53</v>
      </c>
      <c r="H196" s="13" t="s">
        <v>402</v>
      </c>
      <c r="I196" s="13"/>
    </row>
    <row r="197" customFormat="false" ht="15" hidden="false" customHeight="false" outlineLevel="0" collapsed="false">
      <c r="A197" s="12" t="n">
        <v>196</v>
      </c>
      <c r="B197" s="13" t="s">
        <v>26</v>
      </c>
      <c r="C197" s="13" t="s">
        <v>412</v>
      </c>
      <c r="D197" s="17" t="s">
        <v>43</v>
      </c>
      <c r="E197" s="14" t="s">
        <v>69</v>
      </c>
      <c r="F197" s="17" t="s">
        <v>10</v>
      </c>
      <c r="G197" s="17" t="s">
        <v>53</v>
      </c>
      <c r="H197" s="13" t="s">
        <v>402</v>
      </c>
      <c r="I197" s="13"/>
    </row>
    <row r="198" customFormat="false" ht="15" hidden="false" customHeight="false" outlineLevel="0" collapsed="false">
      <c r="A198" s="12" t="n">
        <v>197</v>
      </c>
      <c r="B198" s="13" t="s">
        <v>26</v>
      </c>
      <c r="C198" s="13" t="s">
        <v>413</v>
      </c>
      <c r="D198" s="17" t="s">
        <v>43</v>
      </c>
      <c r="E198" s="14" t="s">
        <v>69</v>
      </c>
      <c r="F198" s="17" t="s">
        <v>10</v>
      </c>
      <c r="G198" s="17" t="s">
        <v>53</v>
      </c>
      <c r="H198" s="13" t="s">
        <v>402</v>
      </c>
      <c r="I198" s="13"/>
    </row>
    <row r="199" customFormat="false" ht="15" hidden="false" customHeight="false" outlineLevel="0" collapsed="false">
      <c r="A199" s="12" t="n">
        <v>198</v>
      </c>
      <c r="B199" s="13" t="s">
        <v>26</v>
      </c>
      <c r="C199" s="13" t="s">
        <v>414</v>
      </c>
      <c r="D199" s="17" t="s">
        <v>43</v>
      </c>
      <c r="E199" s="14" t="s">
        <v>69</v>
      </c>
      <c r="F199" s="17" t="s">
        <v>10</v>
      </c>
      <c r="G199" s="17" t="s">
        <v>53</v>
      </c>
      <c r="H199" s="13" t="s">
        <v>402</v>
      </c>
      <c r="I199" s="13"/>
    </row>
    <row r="200" customFormat="false" ht="15" hidden="false" customHeight="false" outlineLevel="0" collapsed="false">
      <c r="A200" s="12" t="n">
        <v>199</v>
      </c>
      <c r="B200" s="13" t="s">
        <v>26</v>
      </c>
      <c r="C200" s="13" t="s">
        <v>415</v>
      </c>
      <c r="D200" s="17" t="s">
        <v>45</v>
      </c>
      <c r="E200" s="14" t="s">
        <v>69</v>
      </c>
      <c r="F200" s="17" t="s">
        <v>10</v>
      </c>
      <c r="G200" s="17" t="s">
        <v>53</v>
      </c>
      <c r="H200" s="13" t="s">
        <v>402</v>
      </c>
      <c r="I200" s="13"/>
    </row>
    <row r="201" customFormat="false" ht="15" hidden="false" customHeight="false" outlineLevel="0" collapsed="false">
      <c r="A201" s="12" t="n">
        <v>200</v>
      </c>
      <c r="B201" s="13" t="s">
        <v>26</v>
      </c>
      <c r="C201" s="13" t="s">
        <v>416</v>
      </c>
      <c r="D201" s="17" t="s">
        <v>45</v>
      </c>
      <c r="E201" s="14" t="s">
        <v>69</v>
      </c>
      <c r="F201" s="17" t="s">
        <v>10</v>
      </c>
      <c r="G201" s="17" t="s">
        <v>53</v>
      </c>
      <c r="H201" s="13" t="s">
        <v>402</v>
      </c>
      <c r="I201" s="13"/>
    </row>
    <row r="202" customFormat="false" ht="15" hidden="false" customHeight="false" outlineLevel="0" collapsed="false">
      <c r="A202" s="12" t="n">
        <v>201</v>
      </c>
      <c r="B202" s="13" t="s">
        <v>26</v>
      </c>
      <c r="C202" s="13" t="s">
        <v>417</v>
      </c>
      <c r="D202" s="17" t="s">
        <v>45</v>
      </c>
      <c r="E202" s="14" t="s">
        <v>69</v>
      </c>
      <c r="F202" s="17" t="s">
        <v>10</v>
      </c>
      <c r="G202" s="17" t="s">
        <v>53</v>
      </c>
      <c r="H202" s="13" t="s">
        <v>402</v>
      </c>
      <c r="I202" s="13"/>
    </row>
    <row r="203" customFormat="false" ht="23.85" hidden="false" customHeight="false" outlineLevel="0" collapsed="false">
      <c r="A203" s="12" t="n">
        <v>202</v>
      </c>
      <c r="B203" s="13" t="s">
        <v>26</v>
      </c>
      <c r="C203" s="13" t="s">
        <v>418</v>
      </c>
      <c r="D203" s="17" t="s">
        <v>45</v>
      </c>
      <c r="E203" s="14" t="s">
        <v>112</v>
      </c>
      <c r="F203" s="17" t="s">
        <v>10</v>
      </c>
      <c r="G203" s="17" t="s">
        <v>51</v>
      </c>
      <c r="H203" s="13" t="s">
        <v>402</v>
      </c>
      <c r="I203" s="13" t="s">
        <v>419</v>
      </c>
    </row>
    <row r="204" customFormat="false" ht="15" hidden="false" customHeight="false" outlineLevel="0" collapsed="false">
      <c r="A204" s="12" t="n">
        <v>203</v>
      </c>
      <c r="B204" s="13" t="s">
        <v>27</v>
      </c>
      <c r="C204" s="13" t="s">
        <v>420</v>
      </c>
      <c r="D204" s="17" t="s">
        <v>41</v>
      </c>
      <c r="E204" s="14" t="s">
        <v>69</v>
      </c>
      <c r="F204" s="17" t="s">
        <v>10</v>
      </c>
      <c r="G204" s="17" t="s">
        <v>53</v>
      </c>
      <c r="H204" s="13" t="s">
        <v>421</v>
      </c>
      <c r="I204" s="13"/>
    </row>
    <row r="205" customFormat="false" ht="15" hidden="false" customHeight="false" outlineLevel="0" collapsed="false">
      <c r="A205" s="12" t="n">
        <v>204</v>
      </c>
      <c r="B205" s="13" t="s">
        <v>27</v>
      </c>
      <c r="C205" s="13" t="s">
        <v>422</v>
      </c>
      <c r="D205" s="17" t="s">
        <v>41</v>
      </c>
      <c r="E205" s="14" t="s">
        <v>69</v>
      </c>
      <c r="F205" s="17" t="s">
        <v>10</v>
      </c>
      <c r="G205" s="17" t="s">
        <v>53</v>
      </c>
      <c r="H205" s="13" t="s">
        <v>421</v>
      </c>
      <c r="I205" s="13"/>
    </row>
    <row r="206" customFormat="false" ht="15" hidden="false" customHeight="false" outlineLevel="0" collapsed="false">
      <c r="A206" s="12" t="n">
        <v>205</v>
      </c>
      <c r="B206" s="13" t="s">
        <v>27</v>
      </c>
      <c r="C206" s="13" t="s">
        <v>423</v>
      </c>
      <c r="D206" s="17" t="s">
        <v>41</v>
      </c>
      <c r="E206" s="14" t="s">
        <v>69</v>
      </c>
      <c r="F206" s="17" t="s">
        <v>10</v>
      </c>
      <c r="G206" s="17" t="s">
        <v>51</v>
      </c>
      <c r="H206" s="13" t="s">
        <v>421</v>
      </c>
      <c r="I206" s="13"/>
    </row>
    <row r="207" customFormat="false" ht="15" hidden="false" customHeight="false" outlineLevel="0" collapsed="false">
      <c r="A207" s="12" t="n">
        <v>206</v>
      </c>
      <c r="B207" s="13" t="s">
        <v>27</v>
      </c>
      <c r="C207" s="13" t="s">
        <v>424</v>
      </c>
      <c r="D207" s="17" t="s">
        <v>43</v>
      </c>
      <c r="E207" s="14" t="s">
        <v>69</v>
      </c>
      <c r="F207" s="17" t="s">
        <v>10</v>
      </c>
      <c r="G207" s="17" t="s">
        <v>53</v>
      </c>
      <c r="H207" s="13" t="s">
        <v>421</v>
      </c>
      <c r="I207" s="13"/>
    </row>
    <row r="208" customFormat="false" ht="15" hidden="false" customHeight="false" outlineLevel="0" collapsed="false">
      <c r="A208" s="12" t="n">
        <v>207</v>
      </c>
      <c r="B208" s="13" t="s">
        <v>27</v>
      </c>
      <c r="C208" s="13" t="s">
        <v>425</v>
      </c>
      <c r="D208" s="17" t="s">
        <v>43</v>
      </c>
      <c r="E208" s="14" t="s">
        <v>69</v>
      </c>
      <c r="F208" s="17" t="s">
        <v>10</v>
      </c>
      <c r="G208" s="17" t="s">
        <v>53</v>
      </c>
      <c r="H208" s="13" t="s">
        <v>421</v>
      </c>
      <c r="I208" s="13"/>
    </row>
    <row r="209" customFormat="false" ht="23.85" hidden="false" customHeight="false" outlineLevel="0" collapsed="false">
      <c r="A209" s="12" t="n">
        <v>208</v>
      </c>
      <c r="B209" s="13" t="s">
        <v>27</v>
      </c>
      <c r="C209" s="13" t="s">
        <v>426</v>
      </c>
      <c r="D209" s="17" t="s">
        <v>43</v>
      </c>
      <c r="E209" s="14" t="s">
        <v>69</v>
      </c>
      <c r="F209" s="17" t="s">
        <v>10</v>
      </c>
      <c r="G209" s="17" t="s">
        <v>51</v>
      </c>
      <c r="H209" s="13" t="s">
        <v>421</v>
      </c>
      <c r="I209" s="13" t="s">
        <v>427</v>
      </c>
    </row>
    <row r="210" customFormat="false" ht="15" hidden="false" customHeight="false" outlineLevel="0" collapsed="false">
      <c r="A210" s="12" t="n">
        <v>209</v>
      </c>
      <c r="B210" s="13" t="s">
        <v>27</v>
      </c>
      <c r="C210" s="13" t="s">
        <v>428</v>
      </c>
      <c r="D210" s="17" t="s">
        <v>43</v>
      </c>
      <c r="E210" s="14" t="s">
        <v>69</v>
      </c>
      <c r="F210" s="17" t="s">
        <v>10</v>
      </c>
      <c r="G210" s="17" t="s">
        <v>53</v>
      </c>
      <c r="H210" s="13" t="s">
        <v>421</v>
      </c>
      <c r="I210" s="13"/>
    </row>
    <row r="211" customFormat="false" ht="15" hidden="false" customHeight="false" outlineLevel="0" collapsed="false">
      <c r="A211" s="12" t="n">
        <v>210</v>
      </c>
      <c r="B211" s="13" t="s">
        <v>27</v>
      </c>
      <c r="C211" s="13" t="s">
        <v>429</v>
      </c>
      <c r="D211" s="17" t="s">
        <v>43</v>
      </c>
      <c r="E211" s="14" t="s">
        <v>69</v>
      </c>
      <c r="F211" s="17" t="s">
        <v>10</v>
      </c>
      <c r="G211" s="17" t="s">
        <v>51</v>
      </c>
      <c r="H211" s="13" t="s">
        <v>421</v>
      </c>
      <c r="I211" s="13"/>
    </row>
    <row r="212" customFormat="false" ht="15" hidden="false" customHeight="false" outlineLevel="0" collapsed="false">
      <c r="A212" s="12" t="n">
        <v>211</v>
      </c>
      <c r="B212" s="13" t="s">
        <v>27</v>
      </c>
      <c r="C212" s="13" t="s">
        <v>430</v>
      </c>
      <c r="D212" s="17" t="s">
        <v>43</v>
      </c>
      <c r="E212" s="14" t="s">
        <v>69</v>
      </c>
      <c r="F212" s="17" t="s">
        <v>10</v>
      </c>
      <c r="G212" s="17" t="s">
        <v>53</v>
      </c>
      <c r="H212" s="13" t="s">
        <v>421</v>
      </c>
      <c r="I212" s="13"/>
    </row>
    <row r="213" customFormat="false" ht="15" hidden="false" customHeight="false" outlineLevel="0" collapsed="false">
      <c r="A213" s="12" t="n">
        <v>212</v>
      </c>
      <c r="B213" s="13" t="s">
        <v>27</v>
      </c>
      <c r="C213" s="13" t="s">
        <v>431</v>
      </c>
      <c r="D213" s="17" t="s">
        <v>43</v>
      </c>
      <c r="E213" s="14" t="s">
        <v>69</v>
      </c>
      <c r="F213" s="17" t="s">
        <v>10</v>
      </c>
      <c r="G213" s="17" t="s">
        <v>51</v>
      </c>
      <c r="H213" s="13" t="s">
        <v>421</v>
      </c>
      <c r="I213" s="13"/>
    </row>
    <row r="214" customFormat="false" ht="15" hidden="false" customHeight="false" outlineLevel="0" collapsed="false">
      <c r="A214" s="12" t="n">
        <v>213</v>
      </c>
      <c r="B214" s="13" t="s">
        <v>27</v>
      </c>
      <c r="C214" s="13" t="s">
        <v>432</v>
      </c>
      <c r="D214" s="17" t="s">
        <v>43</v>
      </c>
      <c r="E214" s="14" t="s">
        <v>69</v>
      </c>
      <c r="F214" s="17" t="s">
        <v>10</v>
      </c>
      <c r="G214" s="17" t="s">
        <v>53</v>
      </c>
      <c r="H214" s="13" t="s">
        <v>421</v>
      </c>
      <c r="I214" s="13"/>
    </row>
    <row r="215" customFormat="false" ht="15" hidden="false" customHeight="false" outlineLevel="0" collapsed="false">
      <c r="A215" s="12" t="n">
        <v>214</v>
      </c>
      <c r="B215" s="13" t="s">
        <v>27</v>
      </c>
      <c r="C215" s="13" t="s">
        <v>433</v>
      </c>
      <c r="D215" s="17" t="s">
        <v>45</v>
      </c>
      <c r="E215" s="14" t="s">
        <v>69</v>
      </c>
      <c r="F215" s="17" t="s">
        <v>10</v>
      </c>
      <c r="G215" s="17" t="s">
        <v>51</v>
      </c>
      <c r="H215" s="13" t="s">
        <v>421</v>
      </c>
      <c r="I215" s="13" t="s">
        <v>434</v>
      </c>
    </row>
    <row r="216" customFormat="false" ht="15" hidden="false" customHeight="false" outlineLevel="0" collapsed="false">
      <c r="A216" s="12" t="n">
        <v>213</v>
      </c>
      <c r="B216" s="13" t="s">
        <v>28</v>
      </c>
      <c r="C216" s="13" t="s">
        <v>435</v>
      </c>
      <c r="D216" s="17" t="s">
        <v>43</v>
      </c>
      <c r="E216" s="14" t="s">
        <v>69</v>
      </c>
      <c r="F216" s="17" t="s">
        <v>10</v>
      </c>
      <c r="G216" s="17" t="s">
        <v>51</v>
      </c>
      <c r="H216" s="13" t="s">
        <v>436</v>
      </c>
      <c r="I216" s="13"/>
    </row>
    <row r="217" customFormat="false" ht="15" hidden="false" customHeight="false" outlineLevel="0" collapsed="false">
      <c r="A217" s="12" t="n">
        <v>214</v>
      </c>
      <c r="B217" s="13" t="s">
        <v>28</v>
      </c>
      <c r="C217" s="13" t="s">
        <v>437</v>
      </c>
      <c r="D217" s="17" t="s">
        <v>43</v>
      </c>
      <c r="E217" s="14" t="s">
        <v>69</v>
      </c>
      <c r="F217" s="17" t="s">
        <v>10</v>
      </c>
      <c r="G217" s="17" t="s">
        <v>53</v>
      </c>
      <c r="H217" s="13" t="s">
        <v>436</v>
      </c>
      <c r="I217" s="13"/>
    </row>
    <row r="218" customFormat="false" ht="15" hidden="false" customHeight="false" outlineLevel="0" collapsed="false">
      <c r="A218" s="12" t="n">
        <v>215</v>
      </c>
      <c r="B218" s="13" t="s">
        <v>28</v>
      </c>
      <c r="C218" s="13" t="s">
        <v>438</v>
      </c>
      <c r="D218" s="17" t="s">
        <v>43</v>
      </c>
      <c r="E218" s="14" t="s">
        <v>69</v>
      </c>
      <c r="F218" s="17" t="s">
        <v>10</v>
      </c>
      <c r="G218" s="17" t="s">
        <v>53</v>
      </c>
      <c r="H218" s="13" t="s">
        <v>436</v>
      </c>
      <c r="I218" s="13"/>
    </row>
    <row r="219" customFormat="false" ht="15" hidden="false" customHeight="false" outlineLevel="0" collapsed="false">
      <c r="A219" s="12" t="n">
        <v>216</v>
      </c>
      <c r="B219" s="13" t="s">
        <v>28</v>
      </c>
      <c r="C219" s="13" t="s">
        <v>439</v>
      </c>
      <c r="D219" s="17" t="s">
        <v>41</v>
      </c>
      <c r="E219" s="14" t="s">
        <v>69</v>
      </c>
      <c r="F219" s="17" t="s">
        <v>10</v>
      </c>
      <c r="G219" s="17" t="s">
        <v>51</v>
      </c>
      <c r="H219" s="13" t="s">
        <v>436</v>
      </c>
      <c r="I219" s="13"/>
    </row>
    <row r="220" customFormat="false" ht="15" hidden="false" customHeight="false" outlineLevel="0" collapsed="false">
      <c r="A220" s="12" t="n">
        <v>217</v>
      </c>
      <c r="B220" s="13" t="s">
        <v>28</v>
      </c>
      <c r="C220" s="13" t="s">
        <v>440</v>
      </c>
      <c r="D220" s="17" t="s">
        <v>41</v>
      </c>
      <c r="E220" s="14" t="s">
        <v>69</v>
      </c>
      <c r="F220" s="17" t="s">
        <v>10</v>
      </c>
      <c r="G220" s="17" t="s">
        <v>51</v>
      </c>
      <c r="H220" s="13" t="s">
        <v>436</v>
      </c>
      <c r="I220" s="13"/>
    </row>
    <row r="221" customFormat="false" ht="23.85" hidden="false" customHeight="false" outlineLevel="0" collapsed="false">
      <c r="A221" s="12" t="n">
        <v>218</v>
      </c>
      <c r="B221" s="13" t="s">
        <v>28</v>
      </c>
      <c r="C221" s="13" t="s">
        <v>441</v>
      </c>
      <c r="D221" s="17" t="s">
        <v>43</v>
      </c>
      <c r="E221" s="14" t="s">
        <v>69</v>
      </c>
      <c r="F221" s="17" t="s">
        <v>8</v>
      </c>
      <c r="G221" s="17" t="s">
        <v>15</v>
      </c>
      <c r="H221" s="13" t="s">
        <v>436</v>
      </c>
      <c r="I221" s="13" t="s">
        <v>442</v>
      </c>
    </row>
    <row r="222" customFormat="false" ht="15" hidden="false" customHeight="false" outlineLevel="0" collapsed="false">
      <c r="A222" s="12" t="n">
        <v>219</v>
      </c>
      <c r="B222" s="13" t="s">
        <v>28</v>
      </c>
      <c r="C222" s="13" t="s">
        <v>443</v>
      </c>
      <c r="D222" s="17" t="s">
        <v>43</v>
      </c>
      <c r="E222" s="14" t="s">
        <v>69</v>
      </c>
      <c r="F222" s="17" t="s">
        <v>10</v>
      </c>
      <c r="G222" s="17" t="s">
        <v>53</v>
      </c>
      <c r="H222" s="13" t="s">
        <v>436</v>
      </c>
      <c r="I222" s="13"/>
    </row>
    <row r="223" customFormat="false" ht="15" hidden="false" customHeight="false" outlineLevel="0" collapsed="false">
      <c r="A223" s="12" t="n">
        <v>220</v>
      </c>
      <c r="B223" s="13" t="s">
        <v>28</v>
      </c>
      <c r="C223" s="13" t="s">
        <v>444</v>
      </c>
      <c r="D223" s="17" t="s">
        <v>43</v>
      </c>
      <c r="E223" s="14" t="s">
        <v>69</v>
      </c>
      <c r="F223" s="17" t="s">
        <v>10</v>
      </c>
      <c r="G223" s="17" t="s">
        <v>51</v>
      </c>
      <c r="H223" s="13" t="s">
        <v>436</v>
      </c>
      <c r="I223" s="13"/>
    </row>
    <row r="224" customFormat="false" ht="15" hidden="false" customHeight="false" outlineLevel="0" collapsed="false">
      <c r="A224" s="12" t="n">
        <v>221</v>
      </c>
      <c r="B224" s="13" t="s">
        <v>28</v>
      </c>
      <c r="C224" s="13" t="s">
        <v>445</v>
      </c>
      <c r="D224" s="17" t="s">
        <v>43</v>
      </c>
      <c r="E224" s="14" t="s">
        <v>69</v>
      </c>
      <c r="F224" s="17" t="s">
        <v>10</v>
      </c>
      <c r="G224" s="17" t="s">
        <v>53</v>
      </c>
      <c r="H224" s="13" t="s">
        <v>436</v>
      </c>
      <c r="I224" s="13"/>
    </row>
    <row r="225" customFormat="false" ht="15" hidden="false" customHeight="false" outlineLevel="0" collapsed="false">
      <c r="A225" s="12" t="n">
        <v>222</v>
      </c>
      <c r="B225" s="13" t="s">
        <v>28</v>
      </c>
      <c r="C225" s="13" t="s">
        <v>446</v>
      </c>
      <c r="D225" s="17" t="s">
        <v>43</v>
      </c>
      <c r="E225" s="14" t="s">
        <v>69</v>
      </c>
      <c r="F225" s="17" t="s">
        <v>10</v>
      </c>
      <c r="G225" s="17" t="s">
        <v>53</v>
      </c>
      <c r="H225" s="13" t="s">
        <v>436</v>
      </c>
      <c r="I225" s="13"/>
    </row>
    <row r="226" customFormat="false" ht="15" hidden="false" customHeight="false" outlineLevel="0" collapsed="false">
      <c r="A226" s="12" t="n">
        <v>223</v>
      </c>
      <c r="B226" s="13" t="s">
        <v>28</v>
      </c>
      <c r="C226" s="13" t="s">
        <v>447</v>
      </c>
      <c r="D226" s="17" t="s">
        <v>45</v>
      </c>
      <c r="E226" s="14" t="s">
        <v>69</v>
      </c>
      <c r="F226" s="17" t="s">
        <v>10</v>
      </c>
      <c r="G226" s="17" t="s">
        <v>53</v>
      </c>
      <c r="H226" s="13" t="s">
        <v>436</v>
      </c>
      <c r="I226" s="13"/>
    </row>
    <row r="227" customFormat="false" ht="15" hidden="false" customHeight="false" outlineLevel="0" collapsed="false">
      <c r="A227" s="12" t="n">
        <v>224</v>
      </c>
      <c r="B227" s="13" t="s">
        <v>28</v>
      </c>
      <c r="C227" s="13" t="s">
        <v>448</v>
      </c>
      <c r="D227" s="17" t="s">
        <v>45</v>
      </c>
      <c r="E227" s="14" t="s">
        <v>69</v>
      </c>
      <c r="F227" s="17" t="s">
        <v>10</v>
      </c>
      <c r="G227" s="17" t="s">
        <v>53</v>
      </c>
      <c r="H227" s="13" t="s">
        <v>436</v>
      </c>
      <c r="I227" s="13"/>
    </row>
    <row r="228" customFormat="false" ht="15" hidden="false" customHeight="false" outlineLevel="0" collapsed="false">
      <c r="A228" s="12" t="n">
        <v>225</v>
      </c>
      <c r="B228" s="13" t="s">
        <v>29</v>
      </c>
      <c r="C228" s="13" t="s">
        <v>449</v>
      </c>
      <c r="D228" s="17" t="s">
        <v>41</v>
      </c>
      <c r="E228" s="14" t="s">
        <v>69</v>
      </c>
      <c r="F228" s="17" t="s">
        <v>10</v>
      </c>
      <c r="G228" s="17" t="s">
        <v>15</v>
      </c>
      <c r="H228" s="13" t="s">
        <v>450</v>
      </c>
      <c r="I228" s="13" t="s">
        <v>451</v>
      </c>
    </row>
    <row r="229" customFormat="false" ht="15" hidden="false" customHeight="false" outlineLevel="0" collapsed="false">
      <c r="A229" s="12" t="n">
        <v>226</v>
      </c>
      <c r="B229" s="13" t="s">
        <v>29</v>
      </c>
      <c r="C229" s="13" t="s">
        <v>452</v>
      </c>
      <c r="D229" s="17" t="s">
        <v>43</v>
      </c>
      <c r="E229" s="14" t="s">
        <v>69</v>
      </c>
      <c r="F229" s="17" t="s">
        <v>10</v>
      </c>
      <c r="G229" s="17" t="s">
        <v>15</v>
      </c>
      <c r="H229" s="13" t="s">
        <v>450</v>
      </c>
      <c r="I229" s="13" t="s">
        <v>453</v>
      </c>
    </row>
    <row r="230" customFormat="false" ht="23.85" hidden="false" customHeight="false" outlineLevel="0" collapsed="false">
      <c r="A230" s="12" t="n">
        <v>227</v>
      </c>
      <c r="B230" s="13" t="s">
        <v>29</v>
      </c>
      <c r="C230" s="13" t="s">
        <v>454</v>
      </c>
      <c r="D230" s="17" t="s">
        <v>41</v>
      </c>
      <c r="E230" s="14" t="s">
        <v>69</v>
      </c>
      <c r="F230" s="17" t="s">
        <v>8</v>
      </c>
      <c r="G230" s="17" t="s">
        <v>15</v>
      </c>
      <c r="H230" s="13" t="s">
        <v>450</v>
      </c>
      <c r="I230" s="13" t="s">
        <v>455</v>
      </c>
    </row>
    <row r="231" customFormat="false" ht="15" hidden="false" customHeight="false" outlineLevel="0" collapsed="false">
      <c r="A231" s="12" t="n">
        <v>228</v>
      </c>
      <c r="B231" s="13" t="s">
        <v>29</v>
      </c>
      <c r="C231" s="13" t="s">
        <v>456</v>
      </c>
      <c r="D231" s="17" t="s">
        <v>41</v>
      </c>
      <c r="E231" s="14" t="s">
        <v>69</v>
      </c>
      <c r="F231" s="17" t="s">
        <v>10</v>
      </c>
      <c r="G231" s="17" t="s">
        <v>15</v>
      </c>
      <c r="H231" s="13" t="s">
        <v>450</v>
      </c>
      <c r="I231" s="13"/>
    </row>
    <row r="232" customFormat="false" ht="15" hidden="false" customHeight="false" outlineLevel="0" collapsed="false">
      <c r="A232" s="12" t="n">
        <v>229</v>
      </c>
      <c r="B232" s="13" t="s">
        <v>29</v>
      </c>
      <c r="C232" s="13" t="s">
        <v>457</v>
      </c>
      <c r="D232" s="17" t="s">
        <v>41</v>
      </c>
      <c r="E232" s="14" t="s">
        <v>69</v>
      </c>
      <c r="F232" s="17" t="s">
        <v>8</v>
      </c>
      <c r="G232" s="17" t="s">
        <v>15</v>
      </c>
      <c r="H232" s="13" t="s">
        <v>450</v>
      </c>
      <c r="I232" s="13" t="s">
        <v>458</v>
      </c>
    </row>
    <row r="233" customFormat="false" ht="35.05" hidden="false" customHeight="false" outlineLevel="0" collapsed="false">
      <c r="A233" s="12" t="n">
        <v>230</v>
      </c>
      <c r="B233" s="13" t="s">
        <v>29</v>
      </c>
      <c r="C233" s="13" t="s">
        <v>459</v>
      </c>
      <c r="D233" s="17" t="s">
        <v>41</v>
      </c>
      <c r="E233" s="14" t="s">
        <v>69</v>
      </c>
      <c r="F233" s="17" t="s">
        <v>10</v>
      </c>
      <c r="G233" s="17" t="s">
        <v>14</v>
      </c>
      <c r="H233" s="13" t="s">
        <v>450</v>
      </c>
      <c r="I233" s="13" t="s">
        <v>460</v>
      </c>
    </row>
    <row r="234" customFormat="false" ht="15" hidden="false" customHeight="false" outlineLevel="0" collapsed="false">
      <c r="A234" s="12" t="n">
        <v>231</v>
      </c>
      <c r="B234" s="13" t="s">
        <v>29</v>
      </c>
      <c r="C234" s="13" t="s">
        <v>461</v>
      </c>
      <c r="D234" s="17" t="s">
        <v>41</v>
      </c>
      <c r="E234" s="14" t="s">
        <v>69</v>
      </c>
      <c r="F234" s="17" t="s">
        <v>10</v>
      </c>
      <c r="G234" s="17" t="s">
        <v>51</v>
      </c>
      <c r="H234" s="13" t="s">
        <v>450</v>
      </c>
      <c r="I234" s="13" t="s">
        <v>462</v>
      </c>
    </row>
    <row r="235" customFormat="false" ht="15" hidden="false" customHeight="false" outlineLevel="0" collapsed="false">
      <c r="A235" s="12" t="n">
        <v>232</v>
      </c>
      <c r="B235" s="13" t="s">
        <v>29</v>
      </c>
      <c r="C235" s="13" t="s">
        <v>463</v>
      </c>
      <c r="D235" s="17" t="s">
        <v>43</v>
      </c>
      <c r="E235" s="14" t="s">
        <v>69</v>
      </c>
      <c r="F235" s="17" t="s">
        <v>10</v>
      </c>
      <c r="G235" s="17" t="s">
        <v>14</v>
      </c>
      <c r="H235" s="13" t="s">
        <v>450</v>
      </c>
      <c r="I235" s="13"/>
    </row>
    <row r="236" customFormat="false" ht="15" hidden="false" customHeight="false" outlineLevel="0" collapsed="false">
      <c r="A236" s="12" t="n">
        <v>233</v>
      </c>
      <c r="B236" s="13" t="s">
        <v>29</v>
      </c>
      <c r="C236" s="13" t="s">
        <v>464</v>
      </c>
      <c r="D236" s="17" t="s">
        <v>43</v>
      </c>
      <c r="E236" s="14" t="s">
        <v>69</v>
      </c>
      <c r="F236" s="17" t="s">
        <v>10</v>
      </c>
      <c r="G236" s="17" t="s">
        <v>15</v>
      </c>
      <c r="H236" s="13" t="s">
        <v>450</v>
      </c>
      <c r="I236" s="13" t="s">
        <v>177</v>
      </c>
    </row>
    <row r="237" customFormat="false" ht="15" hidden="false" customHeight="false" outlineLevel="0" collapsed="false">
      <c r="A237" s="12" t="n">
        <v>234</v>
      </c>
      <c r="B237" s="13" t="s">
        <v>29</v>
      </c>
      <c r="C237" s="13" t="s">
        <v>465</v>
      </c>
      <c r="D237" s="17" t="s">
        <v>43</v>
      </c>
      <c r="E237" s="14" t="s">
        <v>69</v>
      </c>
      <c r="F237" s="17" t="s">
        <v>10</v>
      </c>
      <c r="G237" s="17" t="s">
        <v>53</v>
      </c>
      <c r="H237" s="13" t="s">
        <v>450</v>
      </c>
      <c r="I237" s="13"/>
    </row>
    <row r="238" customFormat="false" ht="15" hidden="false" customHeight="false" outlineLevel="0" collapsed="false">
      <c r="A238" s="12" t="n">
        <v>235</v>
      </c>
      <c r="B238" s="13" t="s">
        <v>29</v>
      </c>
      <c r="C238" s="13" t="s">
        <v>466</v>
      </c>
      <c r="D238" s="17" t="s">
        <v>43</v>
      </c>
      <c r="E238" s="14" t="s">
        <v>69</v>
      </c>
      <c r="F238" s="17" t="s">
        <v>10</v>
      </c>
      <c r="G238" s="17" t="s">
        <v>53</v>
      </c>
      <c r="H238" s="13" t="s">
        <v>450</v>
      </c>
      <c r="I238" s="13"/>
    </row>
    <row r="239" customFormat="false" ht="15" hidden="false" customHeight="false" outlineLevel="0" collapsed="false">
      <c r="A239" s="12" t="n">
        <v>236</v>
      </c>
      <c r="B239" s="13" t="s">
        <v>29</v>
      </c>
      <c r="C239" s="13" t="s">
        <v>467</v>
      </c>
      <c r="D239" s="17" t="s">
        <v>45</v>
      </c>
      <c r="E239" s="14" t="s">
        <v>69</v>
      </c>
      <c r="F239" s="17" t="s">
        <v>10</v>
      </c>
      <c r="G239" s="17" t="s">
        <v>53</v>
      </c>
      <c r="H239" s="13" t="s">
        <v>450</v>
      </c>
      <c r="I239" s="13"/>
    </row>
    <row r="240" customFormat="false" ht="15" hidden="false" customHeight="false" outlineLevel="0" collapsed="false">
      <c r="A240" s="12" t="n">
        <v>237</v>
      </c>
      <c r="B240" s="13" t="s">
        <v>29</v>
      </c>
      <c r="C240" s="13" t="s">
        <v>468</v>
      </c>
      <c r="D240" s="17" t="s">
        <v>45</v>
      </c>
      <c r="E240" s="14" t="s">
        <v>69</v>
      </c>
      <c r="F240" s="17" t="s">
        <v>10</v>
      </c>
      <c r="G240" s="17" t="s">
        <v>53</v>
      </c>
      <c r="H240" s="13" t="s">
        <v>450</v>
      </c>
      <c r="I240" s="13"/>
    </row>
    <row r="241" customFormat="false" ht="15" hidden="false" customHeight="false" outlineLevel="0" collapsed="false">
      <c r="A241" s="12" t="n">
        <v>238</v>
      </c>
      <c r="B241" s="13" t="s">
        <v>29</v>
      </c>
      <c r="C241" s="13" t="s">
        <v>469</v>
      </c>
      <c r="D241" s="17" t="s">
        <v>45</v>
      </c>
      <c r="E241" s="14" t="s">
        <v>69</v>
      </c>
      <c r="F241" s="17" t="s">
        <v>8</v>
      </c>
      <c r="G241" s="17" t="s">
        <v>53</v>
      </c>
      <c r="H241" s="13" t="s">
        <v>450</v>
      </c>
      <c r="I241" s="13" t="s">
        <v>470</v>
      </c>
    </row>
    <row r="242" customFormat="false" ht="15" hidden="false" customHeight="false" outlineLevel="0" collapsed="false">
      <c r="A242" s="12" t="n">
        <v>239</v>
      </c>
      <c r="B242" s="13" t="s">
        <v>29</v>
      </c>
      <c r="C242" s="13" t="s">
        <v>471</v>
      </c>
      <c r="D242" s="17" t="s">
        <v>43</v>
      </c>
      <c r="E242" s="14" t="s">
        <v>69</v>
      </c>
      <c r="F242" s="17" t="s">
        <v>8</v>
      </c>
      <c r="G242" s="17" t="s">
        <v>51</v>
      </c>
      <c r="H242" s="13" t="s">
        <v>450</v>
      </c>
      <c r="I242" s="13" t="s">
        <v>472</v>
      </c>
    </row>
    <row r="243" customFormat="false" ht="15" hidden="false" customHeight="false" outlineLevel="0" collapsed="false">
      <c r="A243" s="12" t="n">
        <v>240</v>
      </c>
      <c r="B243" s="13" t="s">
        <v>29</v>
      </c>
      <c r="C243" s="13" t="s">
        <v>473</v>
      </c>
      <c r="D243" s="17" t="s">
        <v>45</v>
      </c>
      <c r="E243" s="14" t="s">
        <v>69</v>
      </c>
      <c r="F243" s="17" t="s">
        <v>10</v>
      </c>
      <c r="G243" s="17" t="s">
        <v>51</v>
      </c>
      <c r="H243" s="13" t="s">
        <v>450</v>
      </c>
      <c r="I243" s="13" t="s">
        <v>474</v>
      </c>
    </row>
    <row r="244" customFormat="false" ht="15" hidden="false" customHeight="false" outlineLevel="0" collapsed="false">
      <c r="A244" s="12" t="n">
        <v>241</v>
      </c>
      <c r="B244" s="13" t="s">
        <v>30</v>
      </c>
      <c r="C244" s="13" t="s">
        <v>475</v>
      </c>
      <c r="D244" s="17" t="s">
        <v>43</v>
      </c>
      <c r="E244" s="14" t="s">
        <v>8</v>
      </c>
      <c r="F244" s="17" t="s">
        <v>8</v>
      </c>
      <c r="G244" s="17" t="s">
        <v>51</v>
      </c>
      <c r="H244" s="13" t="s">
        <v>476</v>
      </c>
      <c r="I244" s="13" t="s">
        <v>477</v>
      </c>
    </row>
    <row r="245" customFormat="false" ht="15" hidden="false" customHeight="false" outlineLevel="0" collapsed="false">
      <c r="A245" s="12" t="n">
        <v>242</v>
      </c>
      <c r="B245" s="13" t="s">
        <v>30</v>
      </c>
      <c r="C245" s="13" t="s">
        <v>478</v>
      </c>
      <c r="D245" s="17" t="s">
        <v>43</v>
      </c>
      <c r="E245" s="14" t="s">
        <v>8</v>
      </c>
      <c r="F245" s="17" t="s">
        <v>10</v>
      </c>
      <c r="G245" s="17" t="s">
        <v>51</v>
      </c>
      <c r="H245" s="13" t="s">
        <v>476</v>
      </c>
      <c r="I245" s="13" t="s">
        <v>479</v>
      </c>
    </row>
    <row r="246" customFormat="false" ht="15" hidden="false" customHeight="false" outlineLevel="0" collapsed="false">
      <c r="A246" s="12" t="n">
        <v>243</v>
      </c>
      <c r="B246" s="13" t="s">
        <v>30</v>
      </c>
      <c r="C246" s="13" t="s">
        <v>480</v>
      </c>
      <c r="D246" s="17" t="s">
        <v>43</v>
      </c>
      <c r="E246" s="14" t="s">
        <v>8</v>
      </c>
      <c r="F246" s="17" t="s">
        <v>10</v>
      </c>
      <c r="G246" s="17" t="s">
        <v>51</v>
      </c>
      <c r="H246" s="13" t="s">
        <v>476</v>
      </c>
      <c r="I246" s="13"/>
    </row>
    <row r="247" customFormat="false" ht="15" hidden="false" customHeight="false" outlineLevel="0" collapsed="false">
      <c r="A247" s="12" t="n">
        <v>244</v>
      </c>
      <c r="B247" s="13" t="s">
        <v>30</v>
      </c>
      <c r="C247" s="13" t="s">
        <v>481</v>
      </c>
      <c r="D247" s="17" t="s">
        <v>43</v>
      </c>
      <c r="E247" s="14" t="s">
        <v>8</v>
      </c>
      <c r="F247" s="17" t="s">
        <v>9</v>
      </c>
      <c r="G247" s="17" t="s">
        <v>53</v>
      </c>
      <c r="H247" s="13" t="s">
        <v>476</v>
      </c>
      <c r="I247" s="13" t="s">
        <v>301</v>
      </c>
    </row>
    <row r="248" customFormat="false" ht="15" hidden="false" customHeight="false" outlineLevel="0" collapsed="false">
      <c r="A248" s="12" t="n">
        <v>245</v>
      </c>
      <c r="B248" s="13" t="s">
        <v>30</v>
      </c>
      <c r="C248" s="13" t="s">
        <v>482</v>
      </c>
      <c r="D248" s="17" t="s">
        <v>43</v>
      </c>
      <c r="E248" s="14" t="s">
        <v>8</v>
      </c>
      <c r="F248" s="17" t="s">
        <v>8</v>
      </c>
      <c r="G248" s="17" t="s">
        <v>51</v>
      </c>
      <c r="H248" s="13" t="s">
        <v>476</v>
      </c>
      <c r="I248" s="13" t="s">
        <v>483</v>
      </c>
    </row>
    <row r="249" customFormat="false" ht="15" hidden="false" customHeight="false" outlineLevel="0" collapsed="false">
      <c r="A249" s="12" t="n">
        <v>246</v>
      </c>
      <c r="B249" s="13" t="s">
        <v>30</v>
      </c>
      <c r="C249" s="13" t="s">
        <v>484</v>
      </c>
      <c r="D249" s="17" t="s">
        <v>43</v>
      </c>
      <c r="E249" s="14" t="s">
        <v>8</v>
      </c>
      <c r="F249" s="17" t="s">
        <v>8</v>
      </c>
      <c r="G249" s="17" t="s">
        <v>53</v>
      </c>
      <c r="H249" s="13" t="s">
        <v>476</v>
      </c>
      <c r="I249" s="13"/>
    </row>
    <row r="250" customFormat="false" ht="15" hidden="false" customHeight="false" outlineLevel="0" collapsed="false">
      <c r="A250" s="12" t="n">
        <v>247</v>
      </c>
      <c r="B250" s="13" t="s">
        <v>30</v>
      </c>
      <c r="C250" s="13" t="s">
        <v>485</v>
      </c>
      <c r="D250" s="17" t="s">
        <v>45</v>
      </c>
      <c r="E250" s="14" t="s">
        <v>8</v>
      </c>
      <c r="F250" s="17" t="s">
        <v>10</v>
      </c>
      <c r="G250" s="17" t="s">
        <v>53</v>
      </c>
      <c r="H250" s="13" t="s">
        <v>476</v>
      </c>
      <c r="I250" s="13"/>
    </row>
    <row r="251" customFormat="false" ht="23.85" hidden="false" customHeight="false" outlineLevel="0" collapsed="false">
      <c r="A251" s="12" t="n">
        <v>248</v>
      </c>
      <c r="B251" s="13" t="s">
        <v>30</v>
      </c>
      <c r="C251" s="13" t="s">
        <v>486</v>
      </c>
      <c r="D251" s="17" t="s">
        <v>45</v>
      </c>
      <c r="E251" s="14" t="s">
        <v>8</v>
      </c>
      <c r="F251" s="17" t="s">
        <v>10</v>
      </c>
      <c r="G251" s="17" t="s">
        <v>53</v>
      </c>
      <c r="H251" s="13" t="s">
        <v>476</v>
      </c>
      <c r="I251" s="13" t="s">
        <v>487</v>
      </c>
    </row>
    <row r="252" customFormat="false" ht="15" hidden="false" customHeight="false" outlineLevel="0" collapsed="false">
      <c r="A252" s="12" t="n">
        <v>249</v>
      </c>
      <c r="B252" s="13" t="s">
        <v>30</v>
      </c>
      <c r="C252" s="13" t="s">
        <v>488</v>
      </c>
      <c r="D252" s="17" t="s">
        <v>45</v>
      </c>
      <c r="E252" s="14" t="s">
        <v>8</v>
      </c>
      <c r="F252" s="17" t="s">
        <v>10</v>
      </c>
      <c r="G252" s="17" t="s">
        <v>51</v>
      </c>
      <c r="H252" s="13" t="s">
        <v>476</v>
      </c>
      <c r="I252" s="13" t="s">
        <v>489</v>
      </c>
    </row>
    <row r="253" customFormat="false" ht="15" hidden="false" customHeight="false" outlineLevel="0" collapsed="false">
      <c r="A253" s="12" t="n">
        <v>250</v>
      </c>
      <c r="B253" s="13" t="s">
        <v>30</v>
      </c>
      <c r="C253" s="13" t="s">
        <v>490</v>
      </c>
      <c r="D253" s="17" t="s">
        <v>45</v>
      </c>
      <c r="E253" s="14" t="s">
        <v>8</v>
      </c>
      <c r="F253" s="17" t="s">
        <v>9</v>
      </c>
      <c r="G253" s="17" t="s">
        <v>53</v>
      </c>
      <c r="H253" s="13" t="s">
        <v>476</v>
      </c>
      <c r="I253" s="13" t="s">
        <v>491</v>
      </c>
    </row>
    <row r="254" customFormat="false" ht="23.85" hidden="false" customHeight="false" outlineLevel="0" collapsed="false">
      <c r="A254" s="12" t="n">
        <v>251</v>
      </c>
      <c r="B254" s="13" t="s">
        <v>30</v>
      </c>
      <c r="C254" s="13" t="s">
        <v>492</v>
      </c>
      <c r="D254" s="17" t="s">
        <v>45</v>
      </c>
      <c r="E254" s="14" t="s">
        <v>8</v>
      </c>
      <c r="F254" s="17" t="s">
        <v>9</v>
      </c>
      <c r="G254" s="17" t="s">
        <v>14</v>
      </c>
      <c r="H254" s="13" t="s">
        <v>476</v>
      </c>
      <c r="I254" s="13" t="s">
        <v>493</v>
      </c>
    </row>
    <row r="255" customFormat="false" ht="15" hidden="false" customHeight="false" outlineLevel="0" collapsed="false">
      <c r="A255" s="12" t="n">
        <v>252</v>
      </c>
      <c r="B255" s="13" t="s">
        <v>30</v>
      </c>
      <c r="C255" s="13" t="s">
        <v>494</v>
      </c>
      <c r="D255" s="17" t="s">
        <v>43</v>
      </c>
      <c r="E255" s="14" t="s">
        <v>8</v>
      </c>
      <c r="F255" s="17" t="s">
        <v>10</v>
      </c>
      <c r="G255" s="17" t="s">
        <v>53</v>
      </c>
      <c r="H255" s="13" t="s">
        <v>476</v>
      </c>
      <c r="I255" s="13"/>
    </row>
    <row r="256" customFormat="false" ht="15" hidden="false" customHeight="false" outlineLevel="0" collapsed="false">
      <c r="A256" s="12" t="n">
        <v>253</v>
      </c>
      <c r="B256" s="13" t="s">
        <v>30</v>
      </c>
      <c r="C256" s="13" t="s">
        <v>495</v>
      </c>
      <c r="D256" s="17" t="s">
        <v>41</v>
      </c>
      <c r="E256" s="14" t="s">
        <v>8</v>
      </c>
      <c r="F256" s="17" t="s">
        <v>10</v>
      </c>
      <c r="G256" s="17" t="s">
        <v>14</v>
      </c>
      <c r="H256" s="13" t="s">
        <v>476</v>
      </c>
      <c r="I256" s="13" t="s">
        <v>496</v>
      </c>
    </row>
    <row r="257" customFormat="false" ht="15" hidden="false" customHeight="false" outlineLevel="0" collapsed="false">
      <c r="A257" s="12" t="n">
        <v>254</v>
      </c>
      <c r="B257" s="13" t="s">
        <v>30</v>
      </c>
      <c r="C257" s="13" t="s">
        <v>497</v>
      </c>
      <c r="D257" s="17" t="s">
        <v>41</v>
      </c>
      <c r="E257" s="14" t="s">
        <v>8</v>
      </c>
      <c r="F257" s="17" t="s">
        <v>10</v>
      </c>
      <c r="G257" s="17" t="s">
        <v>14</v>
      </c>
      <c r="H257" s="13" t="s">
        <v>476</v>
      </c>
      <c r="I257" s="13"/>
    </row>
    <row r="258" customFormat="false" ht="15" hidden="false" customHeight="false" outlineLevel="0" collapsed="false">
      <c r="A258" s="12" t="n">
        <v>255</v>
      </c>
      <c r="B258" s="13" t="s">
        <v>30</v>
      </c>
      <c r="C258" s="13" t="s">
        <v>498</v>
      </c>
      <c r="D258" s="17" t="s">
        <v>43</v>
      </c>
      <c r="E258" s="14" t="s">
        <v>8</v>
      </c>
      <c r="F258" s="17" t="s">
        <v>10</v>
      </c>
      <c r="G258" s="17" t="s">
        <v>51</v>
      </c>
      <c r="H258" s="13" t="s">
        <v>476</v>
      </c>
      <c r="I258" s="13"/>
    </row>
    <row r="259" customFormat="false" ht="23.85" hidden="false" customHeight="false" outlineLevel="0" collapsed="false">
      <c r="A259" s="12" t="n">
        <v>256</v>
      </c>
      <c r="B259" s="13" t="s">
        <v>30</v>
      </c>
      <c r="C259" s="13" t="s">
        <v>499</v>
      </c>
      <c r="D259" s="17" t="s">
        <v>45</v>
      </c>
      <c r="E259" s="14" t="s">
        <v>8</v>
      </c>
      <c r="F259" s="17" t="s">
        <v>10</v>
      </c>
      <c r="G259" s="17" t="s">
        <v>53</v>
      </c>
      <c r="H259" s="13" t="s">
        <v>476</v>
      </c>
      <c r="I259" s="13" t="s">
        <v>500</v>
      </c>
    </row>
    <row r="260" customFormat="false" ht="15" hidden="false" customHeight="false" outlineLevel="0" collapsed="false">
      <c r="A260" s="12" t="n">
        <v>257</v>
      </c>
      <c r="B260" s="13" t="s">
        <v>30</v>
      </c>
      <c r="C260" s="13" t="s">
        <v>501</v>
      </c>
      <c r="D260" s="17" t="s">
        <v>43</v>
      </c>
      <c r="E260" s="14" t="s">
        <v>8</v>
      </c>
      <c r="F260" s="17" t="s">
        <v>8</v>
      </c>
      <c r="G260" s="17" t="s">
        <v>51</v>
      </c>
      <c r="H260" s="13" t="s">
        <v>476</v>
      </c>
      <c r="I260" s="13" t="s">
        <v>502</v>
      </c>
    </row>
    <row r="261" customFormat="false" ht="15" hidden="false" customHeight="false" outlineLevel="0" collapsed="false">
      <c r="A261" s="12" t="n">
        <v>258</v>
      </c>
      <c r="B261" s="13" t="s">
        <v>30</v>
      </c>
      <c r="C261" s="13" t="s">
        <v>503</v>
      </c>
      <c r="D261" s="17" t="s">
        <v>45</v>
      </c>
      <c r="E261" s="14" t="s">
        <v>8</v>
      </c>
      <c r="F261" s="17" t="s">
        <v>10</v>
      </c>
      <c r="G261" s="17" t="s">
        <v>53</v>
      </c>
      <c r="H261" s="13" t="s">
        <v>476</v>
      </c>
      <c r="I261" s="13"/>
    </row>
    <row r="262" customFormat="false" ht="15" hidden="false" customHeight="false" outlineLevel="0" collapsed="false">
      <c r="A262" s="12" t="n">
        <v>259</v>
      </c>
      <c r="B262" s="13" t="s">
        <v>31</v>
      </c>
      <c r="C262" s="13" t="s">
        <v>504</v>
      </c>
      <c r="D262" s="17" t="s">
        <v>41</v>
      </c>
      <c r="E262" s="14" t="s">
        <v>69</v>
      </c>
      <c r="F262" s="17" t="s">
        <v>10</v>
      </c>
      <c r="G262" s="17" t="s">
        <v>15</v>
      </c>
      <c r="H262" s="13" t="s">
        <v>115</v>
      </c>
      <c r="I262" s="13" t="s">
        <v>505</v>
      </c>
    </row>
    <row r="263" customFormat="false" ht="15" hidden="false" customHeight="false" outlineLevel="0" collapsed="false">
      <c r="A263" s="12" t="n">
        <v>260</v>
      </c>
      <c r="B263" s="13" t="s">
        <v>31</v>
      </c>
      <c r="C263" s="13" t="s">
        <v>506</v>
      </c>
      <c r="D263" s="17" t="s">
        <v>43</v>
      </c>
      <c r="E263" s="14" t="s">
        <v>8</v>
      </c>
      <c r="F263" s="17" t="s">
        <v>10</v>
      </c>
      <c r="G263" s="17" t="s">
        <v>53</v>
      </c>
      <c r="H263" s="13" t="s">
        <v>115</v>
      </c>
      <c r="I263" s="13"/>
    </row>
    <row r="264" customFormat="false" ht="15" hidden="false" customHeight="false" outlineLevel="0" collapsed="false">
      <c r="A264" s="12" t="n">
        <v>261</v>
      </c>
      <c r="B264" s="13" t="s">
        <v>31</v>
      </c>
      <c r="C264" s="13" t="s">
        <v>507</v>
      </c>
      <c r="D264" s="17" t="s">
        <v>41</v>
      </c>
      <c r="E264" s="14" t="s">
        <v>69</v>
      </c>
      <c r="F264" s="17" t="s">
        <v>10</v>
      </c>
      <c r="G264" s="17" t="s">
        <v>15</v>
      </c>
      <c r="H264" s="13" t="s">
        <v>115</v>
      </c>
      <c r="I264" s="13"/>
    </row>
    <row r="265" customFormat="false" ht="15" hidden="false" customHeight="false" outlineLevel="0" collapsed="false">
      <c r="A265" s="12" t="n">
        <v>262</v>
      </c>
      <c r="B265" s="13" t="s">
        <v>31</v>
      </c>
      <c r="C265" s="13" t="s">
        <v>508</v>
      </c>
      <c r="D265" s="17" t="s">
        <v>41</v>
      </c>
      <c r="E265" s="14" t="s">
        <v>69</v>
      </c>
      <c r="F265" s="17" t="s">
        <v>10</v>
      </c>
      <c r="G265" s="17" t="s">
        <v>51</v>
      </c>
      <c r="H265" s="13" t="s">
        <v>115</v>
      </c>
      <c r="I265" s="13"/>
    </row>
    <row r="266" customFormat="false" ht="15" hidden="false" customHeight="false" outlineLevel="0" collapsed="false">
      <c r="A266" s="12" t="n">
        <v>263</v>
      </c>
      <c r="B266" s="13" t="s">
        <v>31</v>
      </c>
      <c r="C266" s="13" t="s">
        <v>509</v>
      </c>
      <c r="D266" s="17" t="s">
        <v>41</v>
      </c>
      <c r="E266" s="14" t="s">
        <v>69</v>
      </c>
      <c r="F266" s="17" t="s">
        <v>10</v>
      </c>
      <c r="G266" s="17" t="s">
        <v>15</v>
      </c>
      <c r="H266" s="13" t="s">
        <v>115</v>
      </c>
      <c r="I266" s="13" t="s">
        <v>510</v>
      </c>
    </row>
    <row r="267" customFormat="false" ht="15" hidden="false" customHeight="false" outlineLevel="0" collapsed="false">
      <c r="A267" s="12" t="n">
        <v>264</v>
      </c>
      <c r="B267" s="13" t="s">
        <v>31</v>
      </c>
      <c r="C267" s="13" t="s">
        <v>511</v>
      </c>
      <c r="D267" s="17" t="s">
        <v>41</v>
      </c>
      <c r="E267" s="14" t="s">
        <v>69</v>
      </c>
      <c r="F267" s="17" t="s">
        <v>10</v>
      </c>
      <c r="G267" s="17" t="s">
        <v>15</v>
      </c>
      <c r="H267" s="13" t="s">
        <v>115</v>
      </c>
      <c r="I267" s="13" t="s">
        <v>512</v>
      </c>
    </row>
    <row r="268" customFormat="false" ht="15" hidden="false" customHeight="false" outlineLevel="0" collapsed="false">
      <c r="A268" s="12" t="n">
        <v>265</v>
      </c>
      <c r="B268" s="13" t="s">
        <v>31</v>
      </c>
      <c r="C268" s="13" t="s">
        <v>513</v>
      </c>
      <c r="D268" s="17" t="s">
        <v>41</v>
      </c>
      <c r="E268" s="14" t="s">
        <v>69</v>
      </c>
      <c r="F268" s="17" t="s">
        <v>10</v>
      </c>
      <c r="G268" s="17" t="s">
        <v>14</v>
      </c>
      <c r="H268" s="13" t="s">
        <v>115</v>
      </c>
      <c r="I268" s="13" t="s">
        <v>514</v>
      </c>
    </row>
    <row r="269" customFormat="false" ht="15" hidden="false" customHeight="false" outlineLevel="0" collapsed="false">
      <c r="A269" s="12" t="n">
        <v>266</v>
      </c>
      <c r="B269" s="13" t="s">
        <v>31</v>
      </c>
      <c r="C269" s="13" t="s">
        <v>515</v>
      </c>
      <c r="D269" s="17" t="s">
        <v>41</v>
      </c>
      <c r="E269" s="14" t="s">
        <v>69</v>
      </c>
      <c r="F269" s="17" t="s">
        <v>8</v>
      </c>
      <c r="G269" s="17" t="s">
        <v>15</v>
      </c>
      <c r="H269" s="13" t="s">
        <v>115</v>
      </c>
      <c r="I269" s="13" t="s">
        <v>516</v>
      </c>
    </row>
    <row r="270" customFormat="false" ht="15" hidden="false" customHeight="false" outlineLevel="0" collapsed="false">
      <c r="A270" s="12" t="n">
        <v>267</v>
      </c>
      <c r="B270" s="13" t="s">
        <v>31</v>
      </c>
      <c r="C270" s="13" t="s">
        <v>517</v>
      </c>
      <c r="D270" s="17" t="s">
        <v>41</v>
      </c>
      <c r="E270" s="14" t="s">
        <v>69</v>
      </c>
      <c r="F270" s="17" t="s">
        <v>10</v>
      </c>
      <c r="G270" s="17" t="s">
        <v>51</v>
      </c>
      <c r="H270" s="13" t="s">
        <v>115</v>
      </c>
      <c r="I270" s="13" t="s">
        <v>518</v>
      </c>
    </row>
    <row r="271" customFormat="false" ht="15" hidden="false" customHeight="false" outlineLevel="0" collapsed="false">
      <c r="A271" s="12" t="n">
        <v>268</v>
      </c>
      <c r="B271" s="13" t="s">
        <v>31</v>
      </c>
      <c r="C271" s="13" t="s">
        <v>519</v>
      </c>
      <c r="D271" s="17" t="s">
        <v>43</v>
      </c>
      <c r="E271" s="14" t="s">
        <v>8</v>
      </c>
      <c r="F271" s="17" t="s">
        <v>10</v>
      </c>
      <c r="G271" s="17" t="s">
        <v>51</v>
      </c>
      <c r="H271" s="13" t="s">
        <v>115</v>
      </c>
      <c r="I271" s="13" t="s">
        <v>520</v>
      </c>
    </row>
    <row r="272" customFormat="false" ht="15" hidden="false" customHeight="false" outlineLevel="0" collapsed="false">
      <c r="A272" s="12" t="n">
        <v>269</v>
      </c>
      <c r="B272" s="13" t="s">
        <v>31</v>
      </c>
      <c r="C272" s="13" t="s">
        <v>521</v>
      </c>
      <c r="D272" s="17" t="s">
        <v>43</v>
      </c>
      <c r="E272" s="14" t="s">
        <v>8</v>
      </c>
      <c r="F272" s="17" t="s">
        <v>10</v>
      </c>
      <c r="G272" s="17" t="s">
        <v>53</v>
      </c>
      <c r="H272" s="13" t="s">
        <v>115</v>
      </c>
      <c r="I272" s="13"/>
    </row>
    <row r="273" customFormat="false" ht="15" hidden="false" customHeight="false" outlineLevel="0" collapsed="false">
      <c r="A273" s="12" t="n">
        <v>270</v>
      </c>
      <c r="B273" s="13" t="s">
        <v>31</v>
      </c>
      <c r="C273" s="13" t="s">
        <v>522</v>
      </c>
      <c r="D273" s="17" t="s">
        <v>43</v>
      </c>
      <c r="E273" s="14" t="s">
        <v>8</v>
      </c>
      <c r="F273" s="17" t="s">
        <v>10</v>
      </c>
      <c r="G273" s="17" t="s">
        <v>51</v>
      </c>
      <c r="H273" s="13" t="s">
        <v>115</v>
      </c>
      <c r="I273" s="13" t="s">
        <v>523</v>
      </c>
    </row>
    <row r="274" customFormat="false" ht="15" hidden="false" customHeight="false" outlineLevel="0" collapsed="false">
      <c r="A274" s="12" t="n">
        <v>271</v>
      </c>
      <c r="B274" s="13" t="s">
        <v>31</v>
      </c>
      <c r="C274" s="13" t="s">
        <v>524</v>
      </c>
      <c r="D274" s="17" t="s">
        <v>45</v>
      </c>
      <c r="E274" s="14" t="s">
        <v>8</v>
      </c>
      <c r="F274" s="17" t="s">
        <v>10</v>
      </c>
      <c r="G274" s="17" t="s">
        <v>53</v>
      </c>
      <c r="H274" s="13" t="s">
        <v>115</v>
      </c>
      <c r="I274" s="13"/>
    </row>
    <row r="275" customFormat="false" ht="15" hidden="false" customHeight="false" outlineLevel="0" collapsed="false">
      <c r="A275" s="12" t="n">
        <v>272</v>
      </c>
      <c r="B275" s="13" t="s">
        <v>31</v>
      </c>
      <c r="C275" s="13" t="s">
        <v>525</v>
      </c>
      <c r="D275" s="17" t="s">
        <v>43</v>
      </c>
      <c r="E275" s="14" t="s">
        <v>8</v>
      </c>
      <c r="F275" s="17" t="s">
        <v>10</v>
      </c>
      <c r="G275" s="17" t="s">
        <v>53</v>
      </c>
      <c r="H275" s="13" t="s">
        <v>115</v>
      </c>
      <c r="I275" s="13"/>
    </row>
    <row r="276" customFormat="false" ht="15" hidden="false" customHeight="false" outlineLevel="0" collapsed="false">
      <c r="A276" s="12" t="n">
        <v>273</v>
      </c>
      <c r="B276" s="13" t="s">
        <v>31</v>
      </c>
      <c r="C276" s="13" t="s">
        <v>526</v>
      </c>
      <c r="D276" s="17" t="s">
        <v>43</v>
      </c>
      <c r="E276" s="14" t="s">
        <v>8</v>
      </c>
      <c r="F276" s="17" t="s">
        <v>10</v>
      </c>
      <c r="G276" s="17" t="s">
        <v>51</v>
      </c>
      <c r="H276" s="13" t="s">
        <v>115</v>
      </c>
      <c r="I276" s="13" t="s">
        <v>527</v>
      </c>
    </row>
    <row r="277" customFormat="false" ht="15" hidden="false" customHeight="false" outlineLevel="0" collapsed="false">
      <c r="A277" s="12" t="n">
        <v>274</v>
      </c>
      <c r="B277" s="13" t="s">
        <v>31</v>
      </c>
      <c r="C277" s="13" t="s">
        <v>528</v>
      </c>
      <c r="D277" s="17" t="s">
        <v>43</v>
      </c>
      <c r="E277" s="14" t="s">
        <v>8</v>
      </c>
      <c r="F277" s="17" t="s">
        <v>10</v>
      </c>
      <c r="G277" s="17" t="s">
        <v>53</v>
      </c>
      <c r="H277" s="13" t="s">
        <v>115</v>
      </c>
      <c r="I277" s="13"/>
    </row>
    <row r="278" customFormat="false" ht="23.85" hidden="false" customHeight="false" outlineLevel="0" collapsed="false">
      <c r="A278" s="12" t="n">
        <v>275</v>
      </c>
      <c r="B278" s="13" t="s">
        <v>32</v>
      </c>
      <c r="C278" s="13" t="s">
        <v>529</v>
      </c>
      <c r="D278" s="17" t="s">
        <v>41</v>
      </c>
      <c r="E278" s="14" t="s">
        <v>69</v>
      </c>
      <c r="F278" s="17" t="s">
        <v>10</v>
      </c>
      <c r="G278" s="17" t="s">
        <v>15</v>
      </c>
      <c r="H278" s="13" t="s">
        <v>530</v>
      </c>
      <c r="I278" s="13"/>
    </row>
    <row r="279" customFormat="false" ht="23.85" hidden="false" customHeight="false" outlineLevel="0" collapsed="false">
      <c r="A279" s="12" t="n">
        <v>276</v>
      </c>
      <c r="B279" s="13" t="s">
        <v>32</v>
      </c>
      <c r="C279" s="13" t="s">
        <v>531</v>
      </c>
      <c r="D279" s="17" t="s">
        <v>43</v>
      </c>
      <c r="E279" s="14" t="s">
        <v>69</v>
      </c>
      <c r="F279" s="17" t="s">
        <v>10</v>
      </c>
      <c r="G279" s="17" t="s">
        <v>15</v>
      </c>
      <c r="H279" s="13" t="s">
        <v>530</v>
      </c>
      <c r="I279" s="13"/>
    </row>
    <row r="280" customFormat="false" ht="23.85" hidden="false" customHeight="false" outlineLevel="0" collapsed="false">
      <c r="A280" s="12" t="n">
        <v>277</v>
      </c>
      <c r="B280" s="13" t="s">
        <v>32</v>
      </c>
      <c r="C280" s="13" t="s">
        <v>532</v>
      </c>
      <c r="D280" s="17" t="s">
        <v>43</v>
      </c>
      <c r="E280" s="14" t="s">
        <v>69</v>
      </c>
      <c r="F280" s="17" t="s">
        <v>10</v>
      </c>
      <c r="G280" s="17" t="s">
        <v>15</v>
      </c>
      <c r="H280" s="13" t="s">
        <v>530</v>
      </c>
      <c r="I280" s="13"/>
    </row>
    <row r="281" customFormat="false" ht="23.85" hidden="false" customHeight="false" outlineLevel="0" collapsed="false">
      <c r="A281" s="12" t="n">
        <v>278</v>
      </c>
      <c r="B281" s="13" t="s">
        <v>32</v>
      </c>
      <c r="C281" s="13" t="s">
        <v>533</v>
      </c>
      <c r="D281" s="17" t="s">
        <v>41</v>
      </c>
      <c r="E281" s="14" t="s">
        <v>69</v>
      </c>
      <c r="F281" s="17" t="s">
        <v>8</v>
      </c>
      <c r="G281" s="17" t="s">
        <v>15</v>
      </c>
      <c r="H281" s="13" t="s">
        <v>530</v>
      </c>
      <c r="I281" s="13" t="s">
        <v>534</v>
      </c>
    </row>
    <row r="282" customFormat="false" ht="23.85" hidden="false" customHeight="false" outlineLevel="0" collapsed="false">
      <c r="A282" s="12" t="n">
        <v>279</v>
      </c>
      <c r="B282" s="13" t="s">
        <v>32</v>
      </c>
      <c r="C282" s="13" t="s">
        <v>535</v>
      </c>
      <c r="D282" s="17" t="s">
        <v>43</v>
      </c>
      <c r="E282" s="14" t="s">
        <v>69</v>
      </c>
      <c r="F282" s="17" t="s">
        <v>10</v>
      </c>
      <c r="G282" s="17" t="s">
        <v>51</v>
      </c>
      <c r="H282" s="13" t="s">
        <v>530</v>
      </c>
      <c r="I282" s="13"/>
    </row>
    <row r="283" customFormat="false" ht="23.85" hidden="false" customHeight="false" outlineLevel="0" collapsed="false">
      <c r="A283" s="12" t="n">
        <v>280</v>
      </c>
      <c r="B283" s="13" t="s">
        <v>32</v>
      </c>
      <c r="C283" s="13" t="s">
        <v>536</v>
      </c>
      <c r="D283" s="17" t="s">
        <v>41</v>
      </c>
      <c r="E283" s="14" t="s">
        <v>69</v>
      </c>
      <c r="F283" s="17" t="s">
        <v>10</v>
      </c>
      <c r="G283" s="17" t="s">
        <v>15</v>
      </c>
      <c r="H283" s="13" t="s">
        <v>530</v>
      </c>
      <c r="I283" s="13"/>
    </row>
    <row r="284" customFormat="false" ht="23.85" hidden="false" customHeight="false" outlineLevel="0" collapsed="false">
      <c r="A284" s="12" t="n">
        <v>281</v>
      </c>
      <c r="B284" s="13" t="s">
        <v>32</v>
      </c>
      <c r="C284" s="13" t="s">
        <v>537</v>
      </c>
      <c r="D284" s="17" t="s">
        <v>43</v>
      </c>
      <c r="E284" s="14" t="s">
        <v>69</v>
      </c>
      <c r="F284" s="17" t="s">
        <v>10</v>
      </c>
      <c r="G284" s="17" t="s">
        <v>51</v>
      </c>
      <c r="H284" s="13" t="s">
        <v>530</v>
      </c>
      <c r="I284" s="13"/>
    </row>
    <row r="285" customFormat="false" ht="23.85" hidden="false" customHeight="false" outlineLevel="0" collapsed="false">
      <c r="A285" s="12" t="n">
        <v>282</v>
      </c>
      <c r="B285" s="13" t="s">
        <v>32</v>
      </c>
      <c r="C285" s="13" t="s">
        <v>538</v>
      </c>
      <c r="D285" s="17" t="s">
        <v>43</v>
      </c>
      <c r="E285" s="14" t="s">
        <v>69</v>
      </c>
      <c r="F285" s="17" t="s">
        <v>10</v>
      </c>
      <c r="G285" s="17" t="s">
        <v>15</v>
      </c>
      <c r="H285" s="13" t="s">
        <v>530</v>
      </c>
      <c r="I285" s="13" t="s">
        <v>539</v>
      </c>
    </row>
    <row r="286" customFormat="false" ht="23.85" hidden="false" customHeight="false" outlineLevel="0" collapsed="false">
      <c r="A286" s="12" t="n">
        <v>283</v>
      </c>
      <c r="B286" s="13" t="s">
        <v>32</v>
      </c>
      <c r="C286" s="13" t="s">
        <v>540</v>
      </c>
      <c r="D286" s="17" t="s">
        <v>45</v>
      </c>
      <c r="E286" s="14" t="s">
        <v>69</v>
      </c>
      <c r="F286" s="17" t="s">
        <v>10</v>
      </c>
      <c r="G286" s="17" t="s">
        <v>15</v>
      </c>
      <c r="H286" s="13" t="s">
        <v>530</v>
      </c>
      <c r="I286" s="13" t="s">
        <v>541</v>
      </c>
    </row>
    <row r="287" customFormat="false" ht="23.85" hidden="false" customHeight="false" outlineLevel="0" collapsed="false">
      <c r="A287" s="12" t="n">
        <v>284</v>
      </c>
      <c r="B287" s="13" t="s">
        <v>32</v>
      </c>
      <c r="C287" s="13" t="s">
        <v>542</v>
      </c>
      <c r="D287" s="17" t="s">
        <v>43</v>
      </c>
      <c r="E287" s="14" t="s">
        <v>69</v>
      </c>
      <c r="F287" s="17" t="s">
        <v>10</v>
      </c>
      <c r="G287" s="17" t="s">
        <v>15</v>
      </c>
      <c r="H287" s="13" t="s">
        <v>530</v>
      </c>
      <c r="I287" s="13" t="s">
        <v>543</v>
      </c>
    </row>
    <row r="288" customFormat="false" ht="23.85" hidden="false" customHeight="false" outlineLevel="0" collapsed="false">
      <c r="A288" s="12" t="n">
        <v>285</v>
      </c>
      <c r="B288" s="13" t="s">
        <v>32</v>
      </c>
      <c r="C288" s="13" t="s">
        <v>544</v>
      </c>
      <c r="D288" s="17" t="s">
        <v>43</v>
      </c>
      <c r="E288" s="14" t="s">
        <v>69</v>
      </c>
      <c r="F288" s="17" t="s">
        <v>10</v>
      </c>
      <c r="G288" s="17" t="s">
        <v>15</v>
      </c>
      <c r="H288" s="13" t="s">
        <v>530</v>
      </c>
      <c r="I288" s="13" t="s">
        <v>545</v>
      </c>
    </row>
    <row r="289" customFormat="false" ht="23.85" hidden="false" customHeight="false" outlineLevel="0" collapsed="false">
      <c r="A289" s="12" t="n">
        <v>286</v>
      </c>
      <c r="B289" s="13" t="s">
        <v>32</v>
      </c>
      <c r="C289" s="13" t="s">
        <v>546</v>
      </c>
      <c r="D289" s="17" t="s">
        <v>41</v>
      </c>
      <c r="E289" s="14" t="s">
        <v>69</v>
      </c>
      <c r="F289" s="17" t="s">
        <v>10</v>
      </c>
      <c r="G289" s="17" t="s">
        <v>15</v>
      </c>
      <c r="H289" s="13" t="s">
        <v>530</v>
      </c>
      <c r="I289" s="13"/>
    </row>
    <row r="290" customFormat="false" ht="23.85" hidden="false" customHeight="false" outlineLevel="0" collapsed="false">
      <c r="A290" s="12" t="n">
        <v>287</v>
      </c>
      <c r="B290" s="13" t="s">
        <v>32</v>
      </c>
      <c r="C290" s="13" t="s">
        <v>547</v>
      </c>
      <c r="D290" s="17" t="s">
        <v>41</v>
      </c>
      <c r="E290" s="14" t="s">
        <v>69</v>
      </c>
      <c r="F290" s="17" t="s">
        <v>10</v>
      </c>
      <c r="G290" s="17" t="s">
        <v>51</v>
      </c>
      <c r="H290" s="13" t="s">
        <v>530</v>
      </c>
      <c r="I290" s="13" t="s">
        <v>548</v>
      </c>
    </row>
    <row r="291" customFormat="false" ht="23.85" hidden="false" customHeight="false" outlineLevel="0" collapsed="false">
      <c r="A291" s="12" t="n">
        <v>288</v>
      </c>
      <c r="B291" s="13" t="s">
        <v>32</v>
      </c>
      <c r="C291" s="13" t="s">
        <v>549</v>
      </c>
      <c r="D291" s="17" t="s">
        <v>41</v>
      </c>
      <c r="E291" s="14" t="s">
        <v>69</v>
      </c>
      <c r="F291" s="17" t="s">
        <v>10</v>
      </c>
      <c r="G291" s="17" t="s">
        <v>51</v>
      </c>
      <c r="H291" s="13" t="s">
        <v>530</v>
      </c>
      <c r="I291" s="13" t="s">
        <v>550</v>
      </c>
    </row>
    <row r="292" customFormat="false" ht="23.85" hidden="false" customHeight="false" outlineLevel="0" collapsed="false">
      <c r="A292" s="12" t="n">
        <v>289</v>
      </c>
      <c r="B292" s="13" t="s">
        <v>32</v>
      </c>
      <c r="C292" s="13" t="s">
        <v>551</v>
      </c>
      <c r="D292" s="17" t="s">
        <v>43</v>
      </c>
      <c r="E292" s="14" t="s">
        <v>69</v>
      </c>
      <c r="F292" s="17" t="s">
        <v>10</v>
      </c>
      <c r="G292" s="17" t="s">
        <v>51</v>
      </c>
      <c r="H292" s="13" t="s">
        <v>530</v>
      </c>
      <c r="I292" s="13"/>
    </row>
    <row r="293" customFormat="false" ht="23.85" hidden="false" customHeight="false" outlineLevel="0" collapsed="false">
      <c r="A293" s="12" t="n">
        <v>290</v>
      </c>
      <c r="B293" s="13" t="s">
        <v>32</v>
      </c>
      <c r="C293" s="13" t="s">
        <v>552</v>
      </c>
      <c r="D293" s="17" t="s">
        <v>43</v>
      </c>
      <c r="E293" s="14" t="s">
        <v>69</v>
      </c>
      <c r="F293" s="17" t="s">
        <v>10</v>
      </c>
      <c r="G293" s="17" t="s">
        <v>51</v>
      </c>
      <c r="H293" s="13" t="s">
        <v>530</v>
      </c>
      <c r="I293" s="13" t="s">
        <v>553</v>
      </c>
    </row>
    <row r="294" customFormat="false" ht="23.85" hidden="false" customHeight="false" outlineLevel="0" collapsed="false">
      <c r="A294" s="12" t="n">
        <v>291</v>
      </c>
      <c r="B294" s="13" t="s">
        <v>33</v>
      </c>
      <c r="C294" s="13" t="s">
        <v>554</v>
      </c>
      <c r="D294" s="17" t="s">
        <v>41</v>
      </c>
      <c r="E294" s="14" t="s">
        <v>69</v>
      </c>
      <c r="F294" s="17" t="s">
        <v>8</v>
      </c>
      <c r="G294" s="17" t="s">
        <v>14</v>
      </c>
      <c r="H294" s="13" t="s">
        <v>555</v>
      </c>
      <c r="I294" s="13" t="s">
        <v>556</v>
      </c>
    </row>
    <row r="295" customFormat="false" ht="23.85" hidden="false" customHeight="false" outlineLevel="0" collapsed="false">
      <c r="A295" s="12" t="n">
        <v>292</v>
      </c>
      <c r="B295" s="13" t="s">
        <v>33</v>
      </c>
      <c r="C295" s="13" t="s">
        <v>557</v>
      </c>
      <c r="D295" s="17" t="s">
        <v>43</v>
      </c>
      <c r="E295" s="14" t="s">
        <v>69</v>
      </c>
      <c r="F295" s="17" t="s">
        <v>10</v>
      </c>
      <c r="G295" s="17" t="s">
        <v>14</v>
      </c>
      <c r="H295" s="13" t="s">
        <v>555</v>
      </c>
      <c r="I295" s="13" t="s">
        <v>558</v>
      </c>
    </row>
    <row r="296" customFormat="false" ht="23.85" hidden="false" customHeight="false" outlineLevel="0" collapsed="false">
      <c r="A296" s="12" t="n">
        <v>293</v>
      </c>
      <c r="B296" s="13" t="s">
        <v>33</v>
      </c>
      <c r="C296" s="13" t="s">
        <v>559</v>
      </c>
      <c r="D296" s="17" t="s">
        <v>41</v>
      </c>
      <c r="E296" s="14" t="s">
        <v>69</v>
      </c>
      <c r="F296" s="17" t="s">
        <v>8</v>
      </c>
      <c r="G296" s="17" t="s">
        <v>15</v>
      </c>
      <c r="H296" s="13" t="s">
        <v>555</v>
      </c>
      <c r="I296" s="13" t="s">
        <v>560</v>
      </c>
    </row>
    <row r="297" customFormat="false" ht="23.85" hidden="false" customHeight="false" outlineLevel="0" collapsed="false">
      <c r="A297" s="12" t="n">
        <v>294</v>
      </c>
      <c r="B297" s="13" t="s">
        <v>33</v>
      </c>
      <c r="C297" s="13" t="s">
        <v>561</v>
      </c>
      <c r="D297" s="17" t="s">
        <v>41</v>
      </c>
      <c r="E297" s="14" t="s">
        <v>69</v>
      </c>
      <c r="F297" s="17" t="s">
        <v>8</v>
      </c>
      <c r="G297" s="17" t="s">
        <v>14</v>
      </c>
      <c r="H297" s="13" t="s">
        <v>555</v>
      </c>
      <c r="I297" s="13" t="s">
        <v>562</v>
      </c>
    </row>
    <row r="298" customFormat="false" ht="23.85" hidden="false" customHeight="false" outlineLevel="0" collapsed="false">
      <c r="A298" s="12" t="n">
        <v>295</v>
      </c>
      <c r="B298" s="13" t="s">
        <v>33</v>
      </c>
      <c r="C298" s="13" t="s">
        <v>563</v>
      </c>
      <c r="D298" s="17" t="s">
        <v>41</v>
      </c>
      <c r="E298" s="14" t="s">
        <v>69</v>
      </c>
      <c r="F298" s="17" t="s">
        <v>8</v>
      </c>
      <c r="G298" s="17" t="s">
        <v>14</v>
      </c>
      <c r="H298" s="13" t="s">
        <v>555</v>
      </c>
      <c r="I298" s="13" t="s">
        <v>564</v>
      </c>
    </row>
    <row r="299" customFormat="false" ht="23.85" hidden="false" customHeight="false" outlineLevel="0" collapsed="false">
      <c r="A299" s="12" t="n">
        <v>296</v>
      </c>
      <c r="B299" s="13" t="s">
        <v>33</v>
      </c>
      <c r="C299" s="13" t="s">
        <v>565</v>
      </c>
      <c r="D299" s="17" t="s">
        <v>41</v>
      </c>
      <c r="E299" s="14" t="s">
        <v>69</v>
      </c>
      <c r="F299" s="17" t="s">
        <v>8</v>
      </c>
      <c r="G299" s="17" t="s">
        <v>15</v>
      </c>
      <c r="H299" s="13" t="s">
        <v>555</v>
      </c>
      <c r="I299" s="13"/>
    </row>
    <row r="300" customFormat="false" ht="23.85" hidden="false" customHeight="false" outlineLevel="0" collapsed="false">
      <c r="A300" s="12" t="n">
        <v>297</v>
      </c>
      <c r="B300" s="13" t="s">
        <v>33</v>
      </c>
      <c r="C300" s="13" t="s">
        <v>566</v>
      </c>
      <c r="D300" s="17" t="s">
        <v>43</v>
      </c>
      <c r="E300" s="14" t="s">
        <v>69</v>
      </c>
      <c r="F300" s="17" t="s">
        <v>10</v>
      </c>
      <c r="G300" s="17" t="s">
        <v>53</v>
      </c>
      <c r="H300" s="13" t="s">
        <v>555</v>
      </c>
      <c r="I300" s="13"/>
    </row>
    <row r="301" customFormat="false" ht="23.85" hidden="false" customHeight="false" outlineLevel="0" collapsed="false">
      <c r="A301" s="12" t="n">
        <v>298</v>
      </c>
      <c r="B301" s="13" t="s">
        <v>33</v>
      </c>
      <c r="C301" s="13" t="s">
        <v>567</v>
      </c>
      <c r="D301" s="17" t="s">
        <v>41</v>
      </c>
      <c r="E301" s="14" t="s">
        <v>69</v>
      </c>
      <c r="F301" s="17" t="s">
        <v>10</v>
      </c>
      <c r="G301" s="17" t="s">
        <v>14</v>
      </c>
      <c r="H301" s="13" t="s">
        <v>555</v>
      </c>
      <c r="I301" s="13" t="s">
        <v>568</v>
      </c>
    </row>
    <row r="302" customFormat="false" ht="23.85" hidden="false" customHeight="false" outlineLevel="0" collapsed="false">
      <c r="A302" s="12" t="n">
        <v>299</v>
      </c>
      <c r="B302" s="13" t="s">
        <v>33</v>
      </c>
      <c r="C302" s="13" t="s">
        <v>569</v>
      </c>
      <c r="D302" s="17" t="s">
        <v>41</v>
      </c>
      <c r="E302" s="14" t="s">
        <v>69</v>
      </c>
      <c r="F302" s="17" t="s">
        <v>10</v>
      </c>
      <c r="G302" s="17" t="s">
        <v>51</v>
      </c>
      <c r="H302" s="13" t="s">
        <v>555</v>
      </c>
      <c r="I302" s="13"/>
    </row>
    <row r="303" customFormat="false" ht="23.85" hidden="false" customHeight="false" outlineLevel="0" collapsed="false">
      <c r="A303" s="12" t="n">
        <v>300</v>
      </c>
      <c r="B303" s="13" t="s">
        <v>33</v>
      </c>
      <c r="C303" s="13" t="s">
        <v>570</v>
      </c>
      <c r="D303" s="17" t="s">
        <v>43</v>
      </c>
      <c r="E303" s="14" t="s">
        <v>69</v>
      </c>
      <c r="F303" s="17" t="s">
        <v>10</v>
      </c>
      <c r="G303" s="17" t="s">
        <v>51</v>
      </c>
      <c r="H303" s="13" t="s">
        <v>555</v>
      </c>
      <c r="I303" s="13" t="s">
        <v>571</v>
      </c>
    </row>
    <row r="304" customFormat="false" ht="23.85" hidden="false" customHeight="false" outlineLevel="0" collapsed="false">
      <c r="A304" s="12" t="n">
        <v>301</v>
      </c>
      <c r="B304" s="13" t="s">
        <v>33</v>
      </c>
      <c r="C304" s="13" t="s">
        <v>572</v>
      </c>
      <c r="D304" s="17" t="s">
        <v>41</v>
      </c>
      <c r="E304" s="14" t="s">
        <v>69</v>
      </c>
      <c r="F304" s="17" t="s">
        <v>10</v>
      </c>
      <c r="G304" s="17" t="s">
        <v>51</v>
      </c>
      <c r="H304" s="13" t="s">
        <v>555</v>
      </c>
      <c r="I304" s="13" t="s">
        <v>573</v>
      </c>
    </row>
    <row r="305" customFormat="false" ht="23.85" hidden="false" customHeight="false" outlineLevel="0" collapsed="false">
      <c r="A305" s="12" t="n">
        <v>302</v>
      </c>
      <c r="B305" s="13" t="s">
        <v>33</v>
      </c>
      <c r="C305" s="13" t="s">
        <v>574</v>
      </c>
      <c r="D305" s="17" t="s">
        <v>41</v>
      </c>
      <c r="E305" s="14" t="s">
        <v>69</v>
      </c>
      <c r="F305" s="17" t="s">
        <v>10</v>
      </c>
      <c r="G305" s="17" t="s">
        <v>51</v>
      </c>
      <c r="H305" s="13" t="s">
        <v>555</v>
      </c>
      <c r="I305" s="13" t="s">
        <v>575</v>
      </c>
    </row>
    <row r="306" customFormat="false" ht="23.85" hidden="false" customHeight="false" outlineLevel="0" collapsed="false">
      <c r="A306" s="12" t="n">
        <v>303</v>
      </c>
      <c r="B306" s="13" t="s">
        <v>33</v>
      </c>
      <c r="C306" s="13" t="s">
        <v>576</v>
      </c>
      <c r="D306" s="17" t="s">
        <v>41</v>
      </c>
      <c r="E306" s="14" t="s">
        <v>69</v>
      </c>
      <c r="F306" s="17" t="s">
        <v>10</v>
      </c>
      <c r="G306" s="17" t="s">
        <v>51</v>
      </c>
      <c r="H306" s="13" t="s">
        <v>555</v>
      </c>
      <c r="I306" s="13" t="s">
        <v>577</v>
      </c>
    </row>
    <row r="307" customFormat="false" ht="23.85" hidden="false" customHeight="false" outlineLevel="0" collapsed="false">
      <c r="A307" s="12" t="n">
        <v>304</v>
      </c>
      <c r="B307" s="13" t="s">
        <v>33</v>
      </c>
      <c r="C307" s="13" t="s">
        <v>578</v>
      </c>
      <c r="D307" s="17" t="s">
        <v>43</v>
      </c>
      <c r="E307" s="14" t="s">
        <v>69</v>
      </c>
      <c r="F307" s="17" t="s">
        <v>10</v>
      </c>
      <c r="G307" s="17" t="s">
        <v>51</v>
      </c>
      <c r="H307" s="13" t="s">
        <v>555</v>
      </c>
      <c r="I307" s="13" t="s">
        <v>579</v>
      </c>
    </row>
    <row r="308" customFormat="false" ht="23.85" hidden="false" customHeight="false" outlineLevel="0" collapsed="false">
      <c r="A308" s="12" t="n">
        <v>305</v>
      </c>
      <c r="B308" s="13" t="s">
        <v>33</v>
      </c>
      <c r="C308" s="13" t="s">
        <v>580</v>
      </c>
      <c r="D308" s="17" t="s">
        <v>43</v>
      </c>
      <c r="E308" s="14" t="s">
        <v>69</v>
      </c>
      <c r="F308" s="17" t="s">
        <v>10</v>
      </c>
      <c r="G308" s="17" t="s">
        <v>51</v>
      </c>
      <c r="H308" s="13" t="s">
        <v>555</v>
      </c>
      <c r="I308" s="13"/>
    </row>
    <row r="309" customFormat="false" ht="23.85" hidden="false" customHeight="false" outlineLevel="0" collapsed="false">
      <c r="A309" s="12" t="n">
        <v>306</v>
      </c>
      <c r="B309" s="13" t="s">
        <v>33</v>
      </c>
      <c r="C309" s="13" t="s">
        <v>581</v>
      </c>
      <c r="D309" s="17" t="s">
        <v>45</v>
      </c>
      <c r="E309" s="14" t="s">
        <v>69</v>
      </c>
      <c r="F309" s="17" t="s">
        <v>10</v>
      </c>
      <c r="G309" s="17" t="s">
        <v>53</v>
      </c>
      <c r="H309" s="13" t="s">
        <v>555</v>
      </c>
      <c r="I309" s="13"/>
    </row>
    <row r="310" customFormat="false" ht="15" hidden="false" customHeight="false" outlineLevel="0" collapsed="false">
      <c r="A310" s="12" t="n">
        <v>307</v>
      </c>
      <c r="B310" s="13" t="s">
        <v>34</v>
      </c>
      <c r="C310" s="13" t="s">
        <v>582</v>
      </c>
      <c r="D310" s="17" t="s">
        <v>41</v>
      </c>
      <c r="E310" s="14" t="s">
        <v>69</v>
      </c>
      <c r="F310" s="17" t="s">
        <v>8</v>
      </c>
      <c r="G310" s="17" t="s">
        <v>15</v>
      </c>
      <c r="H310" s="13" t="s">
        <v>583</v>
      </c>
      <c r="I310" s="13" t="s">
        <v>584</v>
      </c>
    </row>
    <row r="311" customFormat="false" ht="15" hidden="false" customHeight="false" outlineLevel="0" collapsed="false">
      <c r="A311" s="12" t="n">
        <v>308</v>
      </c>
      <c r="B311" s="13" t="s">
        <v>34</v>
      </c>
      <c r="C311" s="13" t="s">
        <v>585</v>
      </c>
      <c r="D311" s="17" t="s">
        <v>43</v>
      </c>
      <c r="E311" s="14" t="s">
        <v>8</v>
      </c>
      <c r="F311" s="17" t="s">
        <v>8</v>
      </c>
      <c r="G311" s="17" t="s">
        <v>14</v>
      </c>
      <c r="H311" s="13" t="s">
        <v>583</v>
      </c>
      <c r="I311" s="13" t="s">
        <v>586</v>
      </c>
    </row>
    <row r="312" customFormat="false" ht="15" hidden="false" customHeight="false" outlineLevel="0" collapsed="false">
      <c r="A312" s="12" t="n">
        <v>309</v>
      </c>
      <c r="B312" s="13" t="s">
        <v>34</v>
      </c>
      <c r="C312" s="13" t="s">
        <v>587</v>
      </c>
      <c r="D312" s="17" t="s">
        <v>41</v>
      </c>
      <c r="E312" s="14" t="s">
        <v>69</v>
      </c>
      <c r="F312" s="17" t="s">
        <v>10</v>
      </c>
      <c r="G312" s="17" t="s">
        <v>51</v>
      </c>
      <c r="H312" s="13" t="s">
        <v>583</v>
      </c>
      <c r="I312" s="13"/>
    </row>
    <row r="313" customFormat="false" ht="15" hidden="false" customHeight="false" outlineLevel="0" collapsed="false">
      <c r="A313" s="12" t="n">
        <v>310</v>
      </c>
      <c r="B313" s="13" t="s">
        <v>34</v>
      </c>
      <c r="C313" s="13" t="s">
        <v>588</v>
      </c>
      <c r="D313" s="17" t="s">
        <v>43</v>
      </c>
      <c r="E313" s="14" t="s">
        <v>8</v>
      </c>
      <c r="F313" s="17" t="s">
        <v>10</v>
      </c>
      <c r="G313" s="17" t="s">
        <v>15</v>
      </c>
      <c r="H313" s="13" t="s">
        <v>583</v>
      </c>
      <c r="I313" s="13" t="s">
        <v>589</v>
      </c>
    </row>
    <row r="314" customFormat="false" ht="15" hidden="false" customHeight="false" outlineLevel="0" collapsed="false">
      <c r="A314" s="12" t="n">
        <v>311</v>
      </c>
      <c r="B314" s="13" t="s">
        <v>34</v>
      </c>
      <c r="C314" s="13" t="s">
        <v>590</v>
      </c>
      <c r="D314" s="17" t="s">
        <v>43</v>
      </c>
      <c r="E314" s="14" t="s">
        <v>8</v>
      </c>
      <c r="F314" s="17" t="s">
        <v>10</v>
      </c>
      <c r="G314" s="17" t="s">
        <v>53</v>
      </c>
      <c r="H314" s="13" t="s">
        <v>583</v>
      </c>
      <c r="I314" s="13" t="s">
        <v>591</v>
      </c>
    </row>
    <row r="315" customFormat="false" ht="15" hidden="false" customHeight="false" outlineLevel="0" collapsed="false">
      <c r="A315" s="12" t="n">
        <v>312</v>
      </c>
      <c r="B315" s="13" t="s">
        <v>34</v>
      </c>
      <c r="C315" s="13" t="s">
        <v>592</v>
      </c>
      <c r="D315" s="17" t="s">
        <v>43</v>
      </c>
      <c r="E315" s="14" t="s">
        <v>8</v>
      </c>
      <c r="F315" s="17" t="s">
        <v>10</v>
      </c>
      <c r="G315" s="17" t="s">
        <v>51</v>
      </c>
      <c r="H315" s="13" t="s">
        <v>583</v>
      </c>
      <c r="I315" s="13" t="s">
        <v>593</v>
      </c>
    </row>
    <row r="316" customFormat="false" ht="15" hidden="false" customHeight="false" outlineLevel="0" collapsed="false">
      <c r="A316" s="12" t="n">
        <v>313</v>
      </c>
      <c r="B316" s="13" t="s">
        <v>34</v>
      </c>
      <c r="C316" s="13" t="s">
        <v>594</v>
      </c>
      <c r="D316" s="17" t="s">
        <v>41</v>
      </c>
      <c r="E316" s="14" t="s">
        <v>69</v>
      </c>
      <c r="F316" s="17" t="s">
        <v>10</v>
      </c>
      <c r="G316" s="17" t="s">
        <v>51</v>
      </c>
      <c r="H316" s="13" t="s">
        <v>583</v>
      </c>
      <c r="I316" s="13" t="s">
        <v>595</v>
      </c>
    </row>
    <row r="317" customFormat="false" ht="15" hidden="false" customHeight="false" outlineLevel="0" collapsed="false">
      <c r="A317" s="12" t="n">
        <v>314</v>
      </c>
      <c r="B317" s="13" t="s">
        <v>34</v>
      </c>
      <c r="C317" s="13" t="s">
        <v>596</v>
      </c>
      <c r="D317" s="17" t="s">
        <v>43</v>
      </c>
      <c r="E317" s="14" t="s">
        <v>8</v>
      </c>
      <c r="F317" s="17" t="s">
        <v>10</v>
      </c>
      <c r="G317" s="17" t="s">
        <v>51</v>
      </c>
      <c r="H317" s="13" t="s">
        <v>583</v>
      </c>
      <c r="I317" s="13" t="s">
        <v>597</v>
      </c>
    </row>
    <row r="318" customFormat="false" ht="15" hidden="false" customHeight="false" outlineLevel="0" collapsed="false">
      <c r="A318" s="12" t="n">
        <v>315</v>
      </c>
      <c r="B318" s="13" t="s">
        <v>34</v>
      </c>
      <c r="C318" s="13" t="s">
        <v>598</v>
      </c>
      <c r="D318" s="17" t="s">
        <v>43</v>
      </c>
      <c r="E318" s="14" t="s">
        <v>8</v>
      </c>
      <c r="F318" s="17" t="s">
        <v>10</v>
      </c>
      <c r="G318" s="17" t="s">
        <v>53</v>
      </c>
      <c r="H318" s="13" t="s">
        <v>583</v>
      </c>
      <c r="I318" s="13" t="s">
        <v>599</v>
      </c>
    </row>
    <row r="319" customFormat="false" ht="15" hidden="false" customHeight="false" outlineLevel="0" collapsed="false">
      <c r="A319" s="12" t="n">
        <v>316</v>
      </c>
      <c r="B319" s="13" t="s">
        <v>34</v>
      </c>
      <c r="C319" s="13" t="s">
        <v>600</v>
      </c>
      <c r="D319" s="17" t="s">
        <v>45</v>
      </c>
      <c r="E319" s="14" t="s">
        <v>8</v>
      </c>
      <c r="F319" s="17" t="s">
        <v>10</v>
      </c>
      <c r="G319" s="17" t="s">
        <v>53</v>
      </c>
      <c r="H319" s="13" t="s">
        <v>583</v>
      </c>
      <c r="I319" s="13"/>
    </row>
    <row r="320" customFormat="false" ht="35.05" hidden="false" customHeight="false" outlineLevel="0" collapsed="false">
      <c r="A320" s="12" t="n">
        <v>343</v>
      </c>
      <c r="B320" s="13" t="s">
        <v>17</v>
      </c>
      <c r="C320" s="13" t="s">
        <v>601</v>
      </c>
      <c r="D320" s="17" t="s">
        <v>41</v>
      </c>
      <c r="E320" s="14" t="s">
        <v>69</v>
      </c>
      <c r="F320" s="17" t="s">
        <v>8</v>
      </c>
      <c r="G320" s="17" t="s">
        <v>15</v>
      </c>
      <c r="H320" s="13" t="s">
        <v>130</v>
      </c>
      <c r="I320" s="13" t="s">
        <v>602</v>
      </c>
    </row>
    <row r="321" customFormat="false" ht="23.85" hidden="false" customHeight="false" outlineLevel="0" collapsed="false">
      <c r="A321" s="12" t="n">
        <v>344</v>
      </c>
      <c r="B321" s="13" t="s">
        <v>17</v>
      </c>
      <c r="C321" s="13" t="s">
        <v>603</v>
      </c>
      <c r="D321" s="17" t="s">
        <v>41</v>
      </c>
      <c r="E321" s="14" t="s">
        <v>69</v>
      </c>
      <c r="F321" s="17" t="s">
        <v>8</v>
      </c>
      <c r="G321" s="17" t="s">
        <v>15</v>
      </c>
      <c r="H321" s="13" t="s">
        <v>130</v>
      </c>
      <c r="I321" s="13" t="s">
        <v>604</v>
      </c>
    </row>
    <row r="322" customFormat="false" ht="23.85" hidden="false" customHeight="false" outlineLevel="0" collapsed="false">
      <c r="A322" s="12" t="n">
        <v>345</v>
      </c>
      <c r="B322" s="13" t="s">
        <v>18</v>
      </c>
      <c r="C322" s="13" t="s">
        <v>605</v>
      </c>
      <c r="D322" s="17" t="s">
        <v>43</v>
      </c>
      <c r="E322" s="14" t="s">
        <v>69</v>
      </c>
      <c r="F322" s="17" t="s">
        <v>10</v>
      </c>
      <c r="G322" s="17" t="s">
        <v>15</v>
      </c>
      <c r="H322" s="13" t="s">
        <v>606</v>
      </c>
      <c r="I322" s="13" t="s">
        <v>607</v>
      </c>
    </row>
    <row r="323" customFormat="false" ht="23.85" hidden="false" customHeight="false" outlineLevel="0" collapsed="false">
      <c r="A323" s="12" t="n">
        <v>346</v>
      </c>
      <c r="B323" s="13" t="s">
        <v>28</v>
      </c>
      <c r="C323" s="13" t="s">
        <v>608</v>
      </c>
      <c r="D323" s="17" t="s">
        <v>43</v>
      </c>
      <c r="E323" s="14" t="s">
        <v>69</v>
      </c>
      <c r="F323" s="17" t="s">
        <v>10</v>
      </c>
      <c r="G323" s="17" t="s">
        <v>51</v>
      </c>
      <c r="H323" s="13" t="s">
        <v>609</v>
      </c>
      <c r="I323" s="13" t="s">
        <v>610</v>
      </c>
    </row>
    <row r="324" customFormat="false" ht="15" hidden="false" customHeight="false" outlineLevel="0" collapsed="false">
      <c r="A324" s="12" t="n">
        <v>347</v>
      </c>
      <c r="B324" s="13" t="s">
        <v>28</v>
      </c>
      <c r="C324" s="13" t="s">
        <v>611</v>
      </c>
      <c r="D324" s="17" t="s">
        <v>43</v>
      </c>
      <c r="E324" s="14" t="s">
        <v>69</v>
      </c>
      <c r="F324" s="17" t="s">
        <v>10</v>
      </c>
      <c r="G324" s="17" t="s">
        <v>51</v>
      </c>
      <c r="H324" s="13" t="s">
        <v>612</v>
      </c>
      <c r="I324" s="13" t="s">
        <v>613</v>
      </c>
    </row>
    <row r="325" customFormat="false" ht="23.85" hidden="false" customHeight="false" outlineLevel="0" collapsed="false">
      <c r="A325" s="12" t="n">
        <v>348</v>
      </c>
      <c r="B325" s="13" t="s">
        <v>29</v>
      </c>
      <c r="C325" s="13" t="s">
        <v>614</v>
      </c>
      <c r="D325" s="17" t="s">
        <v>43</v>
      </c>
      <c r="E325" s="14" t="s">
        <v>69</v>
      </c>
      <c r="F325" s="17" t="s">
        <v>10</v>
      </c>
      <c r="G325" s="17" t="s">
        <v>51</v>
      </c>
      <c r="H325" s="13" t="s">
        <v>615</v>
      </c>
      <c r="I325" s="13" t="s">
        <v>616</v>
      </c>
    </row>
    <row r="326" customFormat="false" ht="23.85" hidden="false" customHeight="false" outlineLevel="0" collapsed="false">
      <c r="A326" s="12" t="n">
        <v>349</v>
      </c>
      <c r="B326" s="13" t="s">
        <v>33</v>
      </c>
      <c r="C326" s="13" t="s">
        <v>617</v>
      </c>
      <c r="D326" s="17" t="s">
        <v>43</v>
      </c>
      <c r="E326" s="14" t="s">
        <v>69</v>
      </c>
      <c r="F326" s="17" t="s">
        <v>10</v>
      </c>
      <c r="G326" s="17" t="s">
        <v>53</v>
      </c>
      <c r="H326" s="13" t="s">
        <v>210</v>
      </c>
      <c r="I326" s="13" t="s">
        <v>618</v>
      </c>
    </row>
    <row r="327" customFormat="false" ht="23.85" hidden="false" customHeight="false" outlineLevel="0" collapsed="false">
      <c r="A327" s="12" t="n">
        <v>350</v>
      </c>
      <c r="B327" s="13" t="s">
        <v>16</v>
      </c>
      <c r="C327" s="13" t="s">
        <v>619</v>
      </c>
      <c r="D327" s="17" t="s">
        <v>43</v>
      </c>
      <c r="E327" s="14" t="s">
        <v>69</v>
      </c>
      <c r="F327" s="17" t="s">
        <v>10</v>
      </c>
      <c r="G327" s="17" t="s">
        <v>15</v>
      </c>
      <c r="H327" s="13" t="s">
        <v>70</v>
      </c>
      <c r="I327" s="13" t="s">
        <v>620</v>
      </c>
    </row>
    <row r="328" customFormat="false" ht="23.85" hidden="false" customHeight="false" outlineLevel="0" collapsed="false">
      <c r="A328" s="12" t="n">
        <v>317</v>
      </c>
      <c r="B328" s="13" t="s">
        <v>35</v>
      </c>
      <c r="C328" s="13" t="s">
        <v>621</v>
      </c>
      <c r="D328" s="17" t="s">
        <v>45</v>
      </c>
      <c r="E328" s="14" t="s">
        <v>112</v>
      </c>
      <c r="F328" s="17" t="s">
        <v>10</v>
      </c>
      <c r="G328" s="17" t="s">
        <v>15</v>
      </c>
      <c r="H328" s="13" t="s">
        <v>622</v>
      </c>
      <c r="I328" s="13" t="s">
        <v>623</v>
      </c>
    </row>
    <row r="329" customFormat="false" ht="23.85" hidden="false" customHeight="false" outlineLevel="0" collapsed="false">
      <c r="A329" s="12" t="n">
        <v>318</v>
      </c>
      <c r="B329" s="13" t="s">
        <v>35</v>
      </c>
      <c r="C329" s="13" t="s">
        <v>624</v>
      </c>
      <c r="D329" s="17" t="s">
        <v>45</v>
      </c>
      <c r="E329" s="14" t="s">
        <v>112</v>
      </c>
      <c r="F329" s="17" t="s">
        <v>10</v>
      </c>
      <c r="G329" s="17" t="s">
        <v>15</v>
      </c>
      <c r="H329" s="13" t="s">
        <v>622</v>
      </c>
      <c r="I329" s="13"/>
    </row>
    <row r="330" customFormat="false" ht="23.85" hidden="false" customHeight="false" outlineLevel="0" collapsed="false">
      <c r="A330" s="12" t="n">
        <v>319</v>
      </c>
      <c r="B330" s="13" t="s">
        <v>35</v>
      </c>
      <c r="C330" s="13" t="s">
        <v>625</v>
      </c>
      <c r="D330" s="17" t="s">
        <v>45</v>
      </c>
      <c r="E330" s="14" t="s">
        <v>112</v>
      </c>
      <c r="F330" s="17" t="s">
        <v>10</v>
      </c>
      <c r="G330" s="17" t="s">
        <v>15</v>
      </c>
      <c r="H330" s="13" t="s">
        <v>622</v>
      </c>
      <c r="I330" s="13" t="s">
        <v>626</v>
      </c>
    </row>
    <row r="331" customFormat="false" ht="23.85" hidden="false" customHeight="false" outlineLevel="0" collapsed="false">
      <c r="A331" s="12" t="n">
        <v>320</v>
      </c>
      <c r="B331" s="13" t="s">
        <v>35</v>
      </c>
      <c r="C331" s="13" t="s">
        <v>627</v>
      </c>
      <c r="D331" s="17" t="s">
        <v>45</v>
      </c>
      <c r="E331" s="14" t="s">
        <v>112</v>
      </c>
      <c r="F331" s="17" t="s">
        <v>10</v>
      </c>
      <c r="G331" s="17" t="s">
        <v>51</v>
      </c>
      <c r="H331" s="13" t="s">
        <v>628</v>
      </c>
      <c r="I331" s="13" t="s">
        <v>629</v>
      </c>
    </row>
    <row r="332" customFormat="false" ht="23.85" hidden="false" customHeight="false" outlineLevel="0" collapsed="false">
      <c r="A332" s="12" t="n">
        <v>321</v>
      </c>
      <c r="B332" s="13" t="s">
        <v>35</v>
      </c>
      <c r="C332" s="13" t="s">
        <v>630</v>
      </c>
      <c r="D332" s="17" t="s">
        <v>45</v>
      </c>
      <c r="E332" s="14" t="s">
        <v>112</v>
      </c>
      <c r="F332" s="17" t="s">
        <v>10</v>
      </c>
      <c r="G332" s="17" t="s">
        <v>51</v>
      </c>
      <c r="H332" s="13" t="s">
        <v>628</v>
      </c>
      <c r="I332" s="13" t="s">
        <v>631</v>
      </c>
    </row>
    <row r="333" customFormat="false" ht="23.85" hidden="false" customHeight="false" outlineLevel="0" collapsed="false">
      <c r="A333" s="12" t="n">
        <v>322</v>
      </c>
      <c r="B333" s="13" t="s">
        <v>35</v>
      </c>
      <c r="C333" s="13" t="s">
        <v>632</v>
      </c>
      <c r="D333" s="17" t="s">
        <v>43</v>
      </c>
      <c r="E333" s="14" t="s">
        <v>112</v>
      </c>
      <c r="F333" s="17" t="s">
        <v>10</v>
      </c>
      <c r="G333" s="17" t="s">
        <v>53</v>
      </c>
      <c r="H333" s="13" t="s">
        <v>628</v>
      </c>
      <c r="I333" s="13" t="s">
        <v>633</v>
      </c>
    </row>
    <row r="334" customFormat="false" ht="23.85" hidden="false" customHeight="false" outlineLevel="0" collapsed="false">
      <c r="A334" s="12" t="n">
        <v>323</v>
      </c>
      <c r="B334" s="13" t="s">
        <v>35</v>
      </c>
      <c r="C334" s="13" t="s">
        <v>634</v>
      </c>
      <c r="D334" s="17" t="s">
        <v>43</v>
      </c>
      <c r="E334" s="14" t="s">
        <v>112</v>
      </c>
      <c r="F334" s="17" t="s">
        <v>10</v>
      </c>
      <c r="G334" s="17" t="s">
        <v>15</v>
      </c>
      <c r="H334" s="13" t="s">
        <v>635</v>
      </c>
      <c r="I334" s="13" t="s">
        <v>123</v>
      </c>
    </row>
    <row r="335" customFormat="false" ht="23.85" hidden="false" customHeight="false" outlineLevel="0" collapsed="false">
      <c r="A335" s="12" t="n">
        <v>324</v>
      </c>
      <c r="B335" s="13" t="s">
        <v>35</v>
      </c>
      <c r="C335" s="13" t="s">
        <v>636</v>
      </c>
      <c r="D335" s="17" t="s">
        <v>45</v>
      </c>
      <c r="E335" s="14" t="s">
        <v>112</v>
      </c>
      <c r="F335" s="17" t="s">
        <v>10</v>
      </c>
      <c r="G335" s="17" t="s">
        <v>15</v>
      </c>
      <c r="H335" s="13" t="s">
        <v>635</v>
      </c>
      <c r="I335" s="13" t="s">
        <v>637</v>
      </c>
    </row>
    <row r="336" customFormat="false" ht="23.85" hidden="false" customHeight="false" outlineLevel="0" collapsed="false">
      <c r="A336" s="12" t="n">
        <v>325</v>
      </c>
      <c r="B336" s="13" t="s">
        <v>35</v>
      </c>
      <c r="C336" s="13" t="s">
        <v>638</v>
      </c>
      <c r="D336" s="17" t="s">
        <v>45</v>
      </c>
      <c r="E336" s="14" t="s">
        <v>112</v>
      </c>
      <c r="F336" s="17" t="s">
        <v>10</v>
      </c>
      <c r="G336" s="17" t="s">
        <v>51</v>
      </c>
      <c r="H336" s="13" t="s">
        <v>635</v>
      </c>
      <c r="I336" s="13" t="s">
        <v>639</v>
      </c>
    </row>
    <row r="337" customFormat="false" ht="23.85" hidden="false" customHeight="false" outlineLevel="0" collapsed="false">
      <c r="A337" s="12" t="n">
        <v>326</v>
      </c>
      <c r="B337" s="13" t="s">
        <v>35</v>
      </c>
      <c r="C337" s="13" t="s">
        <v>640</v>
      </c>
      <c r="D337" s="17" t="s">
        <v>41</v>
      </c>
      <c r="E337" s="14" t="s">
        <v>112</v>
      </c>
      <c r="F337" s="17" t="s">
        <v>10</v>
      </c>
      <c r="G337" s="17" t="s">
        <v>14</v>
      </c>
      <c r="H337" s="13" t="s">
        <v>641</v>
      </c>
      <c r="I337" s="13" t="s">
        <v>642</v>
      </c>
    </row>
    <row r="338" customFormat="false" ht="23.85" hidden="false" customHeight="false" outlineLevel="0" collapsed="false">
      <c r="A338" s="12" t="n">
        <v>327</v>
      </c>
      <c r="B338" s="13" t="s">
        <v>35</v>
      </c>
      <c r="C338" s="13" t="s">
        <v>643</v>
      </c>
      <c r="D338" s="17" t="s">
        <v>43</v>
      </c>
      <c r="E338" s="14" t="s">
        <v>112</v>
      </c>
      <c r="F338" s="17" t="s">
        <v>10</v>
      </c>
      <c r="G338" s="17" t="s">
        <v>15</v>
      </c>
      <c r="H338" s="13" t="s">
        <v>641</v>
      </c>
      <c r="I338" s="13" t="s">
        <v>644</v>
      </c>
    </row>
    <row r="339" customFormat="false" ht="23.85" hidden="false" customHeight="false" outlineLevel="0" collapsed="false">
      <c r="A339" s="12" t="n">
        <v>328</v>
      </c>
      <c r="B339" s="13" t="s">
        <v>35</v>
      </c>
      <c r="C339" s="13" t="s">
        <v>645</v>
      </c>
      <c r="D339" s="17" t="s">
        <v>43</v>
      </c>
      <c r="E339" s="14" t="s">
        <v>112</v>
      </c>
      <c r="F339" s="17" t="s">
        <v>8</v>
      </c>
      <c r="G339" s="17" t="s">
        <v>15</v>
      </c>
      <c r="H339" s="13" t="s">
        <v>109</v>
      </c>
      <c r="I339" s="13" t="s">
        <v>646</v>
      </c>
    </row>
    <row r="340" customFormat="false" ht="23.85" hidden="false" customHeight="false" outlineLevel="0" collapsed="false">
      <c r="A340" s="12" t="n">
        <v>329</v>
      </c>
      <c r="B340" s="13" t="s">
        <v>35</v>
      </c>
      <c r="C340" s="13" t="s">
        <v>647</v>
      </c>
      <c r="D340" s="17" t="s">
        <v>43</v>
      </c>
      <c r="E340" s="14" t="s">
        <v>112</v>
      </c>
      <c r="F340" s="17" t="s">
        <v>8</v>
      </c>
      <c r="G340" s="17" t="s">
        <v>15</v>
      </c>
      <c r="H340" s="13" t="s">
        <v>109</v>
      </c>
      <c r="I340" s="13" t="s">
        <v>648</v>
      </c>
    </row>
    <row r="341" customFormat="false" ht="23.85" hidden="false" customHeight="false" outlineLevel="0" collapsed="false">
      <c r="A341" s="12" t="n">
        <v>330</v>
      </c>
      <c r="B341" s="13" t="s">
        <v>35</v>
      </c>
      <c r="C341" s="13" t="s">
        <v>649</v>
      </c>
      <c r="D341" s="17" t="s">
        <v>43</v>
      </c>
      <c r="E341" s="14" t="s">
        <v>112</v>
      </c>
      <c r="F341" s="17" t="s">
        <v>10</v>
      </c>
      <c r="G341" s="17" t="s">
        <v>15</v>
      </c>
      <c r="H341" s="13" t="s">
        <v>109</v>
      </c>
      <c r="I341" s="13"/>
    </row>
    <row r="342" customFormat="false" ht="23.85" hidden="false" customHeight="false" outlineLevel="0" collapsed="false">
      <c r="A342" s="12" t="n">
        <v>331</v>
      </c>
      <c r="B342" s="13" t="s">
        <v>35</v>
      </c>
      <c r="C342" s="13" t="s">
        <v>650</v>
      </c>
      <c r="D342" s="17" t="s">
        <v>43</v>
      </c>
      <c r="E342" s="14" t="s">
        <v>112</v>
      </c>
      <c r="F342" s="17" t="s">
        <v>10</v>
      </c>
      <c r="G342" s="17" t="s">
        <v>51</v>
      </c>
      <c r="H342" s="13" t="s">
        <v>109</v>
      </c>
      <c r="I342" s="13"/>
    </row>
    <row r="343" customFormat="false" ht="23.85" hidden="false" customHeight="false" outlineLevel="0" collapsed="false">
      <c r="A343" s="12" t="n">
        <v>332</v>
      </c>
      <c r="B343" s="13" t="s">
        <v>35</v>
      </c>
      <c r="C343" s="13" t="s">
        <v>651</v>
      </c>
      <c r="D343" s="17" t="s">
        <v>43</v>
      </c>
      <c r="E343" s="14" t="s">
        <v>112</v>
      </c>
      <c r="F343" s="17" t="s">
        <v>6</v>
      </c>
      <c r="G343" s="17" t="s">
        <v>53</v>
      </c>
      <c r="H343" s="13" t="s">
        <v>135</v>
      </c>
      <c r="I343" s="13" t="s">
        <v>652</v>
      </c>
    </row>
    <row r="344" customFormat="false" ht="23.85" hidden="false" customHeight="false" outlineLevel="0" collapsed="false">
      <c r="A344" s="12" t="n">
        <v>333</v>
      </c>
      <c r="B344" s="13" t="s">
        <v>35</v>
      </c>
      <c r="C344" s="13" t="s">
        <v>653</v>
      </c>
      <c r="D344" s="17" t="s">
        <v>43</v>
      </c>
      <c r="E344" s="14" t="s">
        <v>112</v>
      </c>
      <c r="F344" s="17" t="s">
        <v>8</v>
      </c>
      <c r="G344" s="17" t="s">
        <v>15</v>
      </c>
      <c r="H344" s="13" t="s">
        <v>289</v>
      </c>
      <c r="I344" s="13" t="s">
        <v>654</v>
      </c>
    </row>
    <row r="345" customFormat="false" ht="23.85" hidden="false" customHeight="false" outlineLevel="0" collapsed="false">
      <c r="A345" s="12" t="n">
        <v>334</v>
      </c>
      <c r="B345" s="13" t="s">
        <v>35</v>
      </c>
      <c r="C345" s="13" t="s">
        <v>655</v>
      </c>
      <c r="D345" s="17" t="s">
        <v>43</v>
      </c>
      <c r="E345" s="14" t="s">
        <v>112</v>
      </c>
      <c r="F345" s="17" t="s">
        <v>10</v>
      </c>
      <c r="G345" s="17" t="s">
        <v>51</v>
      </c>
      <c r="H345" s="13" t="s">
        <v>289</v>
      </c>
      <c r="I345" s="13" t="s">
        <v>656</v>
      </c>
    </row>
    <row r="346" customFormat="false" ht="23.85" hidden="false" customHeight="false" outlineLevel="0" collapsed="false">
      <c r="A346" s="12" t="n">
        <v>335</v>
      </c>
      <c r="B346" s="13" t="s">
        <v>35</v>
      </c>
      <c r="C346" s="13" t="s">
        <v>657</v>
      </c>
      <c r="D346" s="17" t="s">
        <v>43</v>
      </c>
      <c r="E346" s="14" t="s">
        <v>112</v>
      </c>
      <c r="F346" s="17" t="s">
        <v>10</v>
      </c>
      <c r="G346" s="17" t="s">
        <v>51</v>
      </c>
      <c r="H346" s="13" t="s">
        <v>289</v>
      </c>
      <c r="I346" s="13" t="s">
        <v>658</v>
      </c>
    </row>
    <row r="347" customFormat="false" ht="23.85" hidden="false" customHeight="false" outlineLevel="0" collapsed="false">
      <c r="A347" s="12" t="n">
        <v>336</v>
      </c>
      <c r="B347" s="13" t="s">
        <v>35</v>
      </c>
      <c r="C347" s="13" t="s">
        <v>659</v>
      </c>
      <c r="D347" s="17" t="s">
        <v>43</v>
      </c>
      <c r="E347" s="14" t="s">
        <v>112</v>
      </c>
      <c r="F347" s="17" t="s">
        <v>10</v>
      </c>
      <c r="G347" s="17" t="s">
        <v>51</v>
      </c>
      <c r="H347" s="13" t="s">
        <v>421</v>
      </c>
      <c r="I347" s="13" t="s">
        <v>660</v>
      </c>
    </row>
    <row r="348" customFormat="false" ht="23.85" hidden="false" customHeight="false" outlineLevel="0" collapsed="false">
      <c r="A348" s="12" t="n">
        <v>337</v>
      </c>
      <c r="B348" s="13" t="s">
        <v>35</v>
      </c>
      <c r="C348" s="13" t="s">
        <v>661</v>
      </c>
      <c r="D348" s="17" t="s">
        <v>43</v>
      </c>
      <c r="E348" s="14" t="s">
        <v>112</v>
      </c>
      <c r="F348" s="17" t="s">
        <v>10</v>
      </c>
      <c r="G348" s="17" t="s">
        <v>53</v>
      </c>
      <c r="H348" s="13" t="s">
        <v>289</v>
      </c>
      <c r="I348" s="13" t="s">
        <v>662</v>
      </c>
    </row>
    <row r="349" customFormat="false" ht="23.85" hidden="false" customHeight="false" outlineLevel="0" collapsed="false">
      <c r="A349" s="12" t="n">
        <v>338</v>
      </c>
      <c r="B349" s="13" t="s">
        <v>35</v>
      </c>
      <c r="C349" s="13" t="s">
        <v>663</v>
      </c>
      <c r="D349" s="17" t="s">
        <v>43</v>
      </c>
      <c r="E349" s="14" t="s">
        <v>112</v>
      </c>
      <c r="F349" s="17" t="s">
        <v>10</v>
      </c>
      <c r="G349" s="17" t="s">
        <v>15</v>
      </c>
      <c r="H349" s="13" t="s">
        <v>109</v>
      </c>
      <c r="I349" s="13" t="s">
        <v>664</v>
      </c>
    </row>
    <row r="350" customFormat="false" ht="23.85" hidden="false" customHeight="false" outlineLevel="0" collapsed="false">
      <c r="A350" s="12" t="n">
        <v>339</v>
      </c>
      <c r="B350" s="13" t="s">
        <v>35</v>
      </c>
      <c r="C350" s="13" t="s">
        <v>665</v>
      </c>
      <c r="D350" s="17" t="s">
        <v>43</v>
      </c>
      <c r="E350" s="14" t="s">
        <v>112</v>
      </c>
      <c r="F350" s="17" t="s">
        <v>10</v>
      </c>
      <c r="G350" s="17" t="s">
        <v>15</v>
      </c>
      <c r="H350" s="13" t="s">
        <v>666</v>
      </c>
      <c r="I350" s="13" t="s">
        <v>667</v>
      </c>
    </row>
    <row r="351" customFormat="false" ht="23.85" hidden="false" customHeight="false" outlineLevel="0" collapsed="false">
      <c r="A351" s="12" t="n">
        <v>340</v>
      </c>
      <c r="B351" s="13" t="s">
        <v>35</v>
      </c>
      <c r="C351" s="13" t="s">
        <v>668</v>
      </c>
      <c r="D351" s="17" t="s">
        <v>43</v>
      </c>
      <c r="E351" s="14" t="s">
        <v>112</v>
      </c>
      <c r="F351" s="17" t="s">
        <v>10</v>
      </c>
      <c r="G351" s="17" t="s">
        <v>53</v>
      </c>
      <c r="H351" s="13" t="s">
        <v>289</v>
      </c>
      <c r="I351" s="13" t="s">
        <v>669</v>
      </c>
    </row>
  </sheetData>
  <autoFilter ref="A1:I351"/>
  <conditionalFormatting sqref="F2:F351">
    <cfRule type="cellIs" priority="2" operator="equal" aboveAverage="0" equalAverage="0" bottom="0" percent="0" rank="0" text="" dxfId="24">
      <formula>"Absent"</formula>
    </cfRule>
    <cfRule type="cellIs" priority="3" operator="equal" aboveAverage="0" equalAverage="0" bottom="0" percent="0" rank="0" text="" dxfId="25">
      <formula>"Mock"</formula>
    </cfRule>
    <cfRule type="cellIs" priority="4" operator="equal" aboveAverage="0" equalAverage="0" bottom="0" percent="0" rank="0" text="" dxfId="26">
      <formula>"Partial"</formula>
    </cfRule>
    <cfRule type="cellIs" priority="5" operator="equal" aboveAverage="0" equalAverage="0" bottom="0" percent="0" rank="0" text="" dxfId="27">
      <formula>"Present"</formula>
    </cfRule>
    <cfRule type="cellIs" priority="6" operator="equal" aboveAverage="0" equalAverage="0" bottom="0" percent="0" rank="0" text="" dxfId="28">
      <formula>"Strong"</formula>
    </cfRule>
  </conditionalFormatting>
  <conditionalFormatting sqref="G2:G351">
    <cfRule type="cellIs" priority="7" operator="equal" aboveAverage="0" equalAverage="0" bottom="0" percent="0" rank="0" text="" dxfId="29">
      <formula>"P0"</formula>
    </cfRule>
    <cfRule type="cellIs" priority="8" operator="equal" aboveAverage="0" equalAverage="0" bottom="0" percent="0" rank="0" text="" dxfId="30">
      <formula>"P1"</formula>
    </cfRule>
    <cfRule type="cellIs" priority="9" operator="equal" aboveAverage="0" equalAverage="0" bottom="0" percent="0" rank="0" text="" dxfId="31">
      <formula>"P2"</formula>
    </cfRule>
    <cfRule type="cellIs" priority="10" operator="equal" aboveAverage="0" equalAverage="0" bottom="0" percent="0" rank="0" text="" dxfId="32">
      <formula>"P3"</formula>
    </cfRule>
  </conditionalFormatting>
  <conditionalFormatting sqref="D2:D351">
    <cfRule type="cellIs" priority="11" operator="equal" aboveAverage="0" equalAverage="0" bottom="0" percent="0" rank="0" text="" dxfId="33">
      <formula>"TS"</formula>
    </cfRule>
    <cfRule type="cellIs" priority="12" operator="equal" aboveAverage="0" equalAverage="0" bottom="0" percent="0" rank="0" text="" dxfId="34">
      <formula>"D"</formula>
    </cfRule>
    <cfRule type="cellIs" priority="13" operator="equal" aboveAverage="0" equalAverage="0" bottom="0" percent="0" rank="0" text="" dxfId="35">
      <formula>"LE"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8" t="s">
        <v>670</v>
      </c>
    </row>
    <row r="2" customFormat="false" ht="15" hidden="false" customHeight="false" outlineLevel="0" collapsed="false">
      <c r="A2" s="19" t="s">
        <v>671</v>
      </c>
    </row>
    <row r="4" customFormat="false" ht="30" hidden="false" customHeight="true" outlineLevel="0" collapsed="false">
      <c r="A4" s="5" t="s">
        <v>62</v>
      </c>
      <c r="B4" s="5" t="s">
        <v>672</v>
      </c>
      <c r="C4" s="5" t="s">
        <v>673</v>
      </c>
      <c r="D4" s="5" t="s">
        <v>48</v>
      </c>
      <c r="E4" s="5" t="s">
        <v>66</v>
      </c>
      <c r="F4" s="5" t="s">
        <v>674</v>
      </c>
    </row>
    <row r="5" customFormat="false" ht="15" hidden="false" customHeight="false" outlineLevel="0" collapsed="false">
      <c r="A5" s="12" t="n">
        <v>1</v>
      </c>
      <c r="B5" s="13" t="s">
        <v>675</v>
      </c>
      <c r="C5" s="17" t="s">
        <v>8</v>
      </c>
      <c r="D5" s="17" t="s">
        <v>14</v>
      </c>
      <c r="E5" s="13" t="s">
        <v>93</v>
      </c>
      <c r="F5" s="13" t="s">
        <v>676</v>
      </c>
    </row>
    <row r="6" customFormat="false" ht="15" hidden="false" customHeight="false" outlineLevel="0" collapsed="false">
      <c r="A6" s="12" t="n">
        <v>2</v>
      </c>
      <c r="B6" s="13" t="s">
        <v>677</v>
      </c>
      <c r="C6" s="17" t="s">
        <v>8</v>
      </c>
      <c r="D6" s="17" t="s">
        <v>51</v>
      </c>
      <c r="E6" s="13" t="s">
        <v>115</v>
      </c>
      <c r="F6" s="13" t="s">
        <v>678</v>
      </c>
    </row>
    <row r="7" customFormat="false" ht="15" hidden="false" customHeight="false" outlineLevel="0" collapsed="false">
      <c r="A7" s="12" t="n">
        <v>3</v>
      </c>
      <c r="B7" s="13" t="s">
        <v>679</v>
      </c>
      <c r="C7" s="17" t="s">
        <v>10</v>
      </c>
      <c r="D7" s="17" t="s">
        <v>51</v>
      </c>
      <c r="E7" s="13" t="s">
        <v>612</v>
      </c>
      <c r="F7" s="13" t="s">
        <v>680</v>
      </c>
    </row>
    <row r="8" customFormat="false" ht="15" hidden="false" customHeight="false" outlineLevel="0" collapsed="false">
      <c r="A8" s="12" t="n">
        <v>4</v>
      </c>
      <c r="B8" s="13" t="s">
        <v>681</v>
      </c>
      <c r="C8" s="17" t="s">
        <v>8</v>
      </c>
      <c r="D8" s="17" t="s">
        <v>14</v>
      </c>
      <c r="E8" s="13" t="s">
        <v>682</v>
      </c>
      <c r="F8" s="13" t="s">
        <v>683</v>
      </c>
    </row>
    <row r="9" customFormat="false" ht="15" hidden="false" customHeight="false" outlineLevel="0" collapsed="false">
      <c r="A9" s="12" t="n">
        <v>5</v>
      </c>
      <c r="B9" s="13" t="s">
        <v>684</v>
      </c>
      <c r="C9" s="17" t="s">
        <v>8</v>
      </c>
      <c r="D9" s="17" t="s">
        <v>14</v>
      </c>
      <c r="E9" s="13" t="s">
        <v>615</v>
      </c>
      <c r="F9" s="13" t="s">
        <v>685</v>
      </c>
    </row>
    <row r="10" customFormat="false" ht="15" hidden="false" customHeight="false" outlineLevel="0" collapsed="false">
      <c r="A10" s="12" t="n">
        <v>6</v>
      </c>
      <c r="B10" s="13" t="s">
        <v>686</v>
      </c>
      <c r="C10" s="17" t="s">
        <v>8</v>
      </c>
      <c r="D10" s="17" t="s">
        <v>15</v>
      </c>
      <c r="E10" s="13" t="s">
        <v>687</v>
      </c>
      <c r="F10" s="13" t="s">
        <v>688</v>
      </c>
    </row>
    <row r="11" customFormat="false" ht="15" hidden="false" customHeight="false" outlineLevel="0" collapsed="false">
      <c r="A11" s="12" t="n">
        <v>7</v>
      </c>
      <c r="B11" s="13" t="s">
        <v>689</v>
      </c>
      <c r="C11" s="17" t="s">
        <v>10</v>
      </c>
      <c r="D11" s="17" t="s">
        <v>51</v>
      </c>
      <c r="E11" s="13" t="s">
        <v>402</v>
      </c>
      <c r="F11" s="13"/>
    </row>
    <row r="12" customFormat="false" ht="15" hidden="false" customHeight="false" outlineLevel="0" collapsed="false">
      <c r="A12" s="12" t="n">
        <v>8</v>
      </c>
      <c r="B12" s="13" t="s">
        <v>690</v>
      </c>
      <c r="C12" s="17" t="s">
        <v>7</v>
      </c>
      <c r="D12" s="17" t="s">
        <v>53</v>
      </c>
      <c r="E12" s="13" t="s">
        <v>135</v>
      </c>
      <c r="F12" s="13" t="s">
        <v>691</v>
      </c>
    </row>
    <row r="13" customFormat="false" ht="15" hidden="false" customHeight="false" outlineLevel="0" collapsed="false">
      <c r="A13" s="12" t="n">
        <v>9</v>
      </c>
      <c r="B13" s="13" t="s">
        <v>692</v>
      </c>
      <c r="C13" s="17" t="s">
        <v>10</v>
      </c>
      <c r="D13" s="17" t="s">
        <v>51</v>
      </c>
      <c r="E13" s="13" t="s">
        <v>93</v>
      </c>
      <c r="F13" s="13" t="s">
        <v>693</v>
      </c>
    </row>
    <row r="14" customFormat="false" ht="15" hidden="false" customHeight="false" outlineLevel="0" collapsed="false">
      <c r="A14" s="12" t="n">
        <v>10</v>
      </c>
      <c r="B14" s="13" t="s">
        <v>694</v>
      </c>
      <c r="C14" s="17" t="s">
        <v>8</v>
      </c>
      <c r="D14" s="17" t="s">
        <v>15</v>
      </c>
      <c r="E14" s="13" t="s">
        <v>115</v>
      </c>
      <c r="F14" s="13" t="s">
        <v>695</v>
      </c>
    </row>
    <row r="15" customFormat="false" ht="15" hidden="false" customHeight="false" outlineLevel="0" collapsed="false">
      <c r="A15" s="12" t="n">
        <v>11</v>
      </c>
      <c r="B15" s="13" t="s">
        <v>696</v>
      </c>
      <c r="C15" s="17" t="s">
        <v>8</v>
      </c>
      <c r="D15" s="17" t="s">
        <v>15</v>
      </c>
      <c r="E15" s="13" t="s">
        <v>167</v>
      </c>
      <c r="F15" s="13" t="s">
        <v>697</v>
      </c>
    </row>
    <row r="16" customFormat="false" ht="15" hidden="false" customHeight="false" outlineLevel="0" collapsed="false">
      <c r="A16" s="12" t="n">
        <v>12</v>
      </c>
      <c r="B16" s="13" t="s">
        <v>698</v>
      </c>
      <c r="C16" s="17" t="s">
        <v>8</v>
      </c>
      <c r="D16" s="17" t="s">
        <v>15</v>
      </c>
      <c r="E16" s="13" t="s">
        <v>75</v>
      </c>
      <c r="F16" s="13" t="s">
        <v>699</v>
      </c>
    </row>
    <row r="17" customFormat="false" ht="15" hidden="false" customHeight="false" outlineLevel="0" collapsed="false">
      <c r="A17" s="12" t="n">
        <v>13</v>
      </c>
      <c r="B17" s="13" t="s">
        <v>700</v>
      </c>
      <c r="C17" s="17" t="s">
        <v>8</v>
      </c>
      <c r="D17" s="17" t="s">
        <v>51</v>
      </c>
      <c r="E17" s="13" t="s">
        <v>615</v>
      </c>
      <c r="F17" s="13" t="s">
        <v>701</v>
      </c>
    </row>
    <row r="18" customFormat="false" ht="23.85" hidden="false" customHeight="false" outlineLevel="0" collapsed="false">
      <c r="A18" s="12" t="n">
        <v>14</v>
      </c>
      <c r="B18" s="13" t="s">
        <v>702</v>
      </c>
      <c r="C18" s="17" t="s">
        <v>8</v>
      </c>
      <c r="D18" s="17" t="s">
        <v>15</v>
      </c>
      <c r="E18" s="13" t="s">
        <v>703</v>
      </c>
      <c r="F18" s="13" t="s">
        <v>704</v>
      </c>
    </row>
    <row r="19" customFormat="false" ht="15" hidden="false" customHeight="false" outlineLevel="0" collapsed="false">
      <c r="A19" s="12" t="n">
        <v>15</v>
      </c>
      <c r="B19" s="13" t="s">
        <v>705</v>
      </c>
      <c r="C19" s="17" t="s">
        <v>7</v>
      </c>
      <c r="D19" s="17" t="s">
        <v>53</v>
      </c>
      <c r="E19" s="13" t="s">
        <v>135</v>
      </c>
      <c r="F19" s="13" t="s">
        <v>706</v>
      </c>
    </row>
    <row r="20" customFormat="false" ht="15" hidden="false" customHeight="false" outlineLevel="0" collapsed="false">
      <c r="A20" s="12" t="n">
        <v>16</v>
      </c>
      <c r="B20" s="13" t="s">
        <v>707</v>
      </c>
      <c r="C20" s="17" t="s">
        <v>6</v>
      </c>
      <c r="D20" s="17" t="s">
        <v>53</v>
      </c>
      <c r="E20" s="13" t="s">
        <v>135</v>
      </c>
      <c r="F20" s="13" t="s">
        <v>708</v>
      </c>
    </row>
    <row r="21" customFormat="false" ht="15" hidden="false" customHeight="false" outlineLevel="0" collapsed="false">
      <c r="A21" s="12" t="n">
        <v>17</v>
      </c>
      <c r="B21" s="13" t="s">
        <v>709</v>
      </c>
      <c r="C21" s="17" t="s">
        <v>10</v>
      </c>
      <c r="D21" s="17" t="s">
        <v>15</v>
      </c>
      <c r="E21" s="13" t="s">
        <v>115</v>
      </c>
      <c r="F21" s="13" t="s">
        <v>710</v>
      </c>
    </row>
    <row r="22" customFormat="false" ht="15" hidden="false" customHeight="false" outlineLevel="0" collapsed="false">
      <c r="A22" s="12" t="n">
        <v>18</v>
      </c>
      <c r="B22" s="13" t="s">
        <v>711</v>
      </c>
      <c r="C22" s="17" t="s">
        <v>8</v>
      </c>
      <c r="D22" s="17" t="s">
        <v>15</v>
      </c>
      <c r="E22" s="13" t="s">
        <v>118</v>
      </c>
      <c r="F22" s="13" t="s">
        <v>712</v>
      </c>
    </row>
    <row r="23" customFormat="false" ht="15" hidden="false" customHeight="false" outlineLevel="0" collapsed="false">
      <c r="A23" s="12" t="n">
        <v>19</v>
      </c>
      <c r="B23" s="13" t="s">
        <v>713</v>
      </c>
      <c r="C23" s="17" t="s">
        <v>7</v>
      </c>
      <c r="D23" s="17" t="s">
        <v>51</v>
      </c>
      <c r="E23" s="13" t="s">
        <v>81</v>
      </c>
      <c r="F23" s="13" t="s">
        <v>714</v>
      </c>
    </row>
    <row r="24" customFormat="false" ht="15" hidden="false" customHeight="false" outlineLevel="0" collapsed="false">
      <c r="A24" s="12" t="n">
        <v>20</v>
      </c>
      <c r="B24" s="13" t="s">
        <v>715</v>
      </c>
      <c r="C24" s="17" t="s">
        <v>8</v>
      </c>
      <c r="D24" s="17" t="s">
        <v>15</v>
      </c>
      <c r="E24" s="13" t="s">
        <v>81</v>
      </c>
      <c r="F24" s="13" t="s">
        <v>716</v>
      </c>
    </row>
    <row r="25" customFormat="false" ht="15" hidden="false" customHeight="false" outlineLevel="0" collapsed="false">
      <c r="A25" s="12" t="n">
        <v>21</v>
      </c>
      <c r="B25" s="13" t="s">
        <v>717</v>
      </c>
      <c r="C25" s="17" t="s">
        <v>7</v>
      </c>
      <c r="D25" s="17" t="s">
        <v>51</v>
      </c>
      <c r="E25" s="13" t="s">
        <v>109</v>
      </c>
      <c r="F25" s="13" t="s">
        <v>718</v>
      </c>
    </row>
    <row r="26" customFormat="false" ht="15" hidden="false" customHeight="false" outlineLevel="0" collapsed="false">
      <c r="A26" s="12" t="n">
        <v>22</v>
      </c>
      <c r="B26" s="13" t="s">
        <v>719</v>
      </c>
      <c r="C26" s="17" t="s">
        <v>8</v>
      </c>
      <c r="D26" s="17" t="s">
        <v>15</v>
      </c>
      <c r="E26" s="13" t="s">
        <v>720</v>
      </c>
      <c r="F26" s="13" t="s">
        <v>721</v>
      </c>
    </row>
    <row r="27" customFormat="false" ht="15" hidden="false" customHeight="false" outlineLevel="0" collapsed="false">
      <c r="A27" s="12" t="n">
        <v>23</v>
      </c>
      <c r="B27" s="13" t="s">
        <v>722</v>
      </c>
      <c r="C27" s="17" t="s">
        <v>10</v>
      </c>
      <c r="D27" s="17" t="s">
        <v>51</v>
      </c>
      <c r="E27" s="13" t="s">
        <v>264</v>
      </c>
      <c r="F27" s="13"/>
    </row>
    <row r="28" customFormat="false" ht="15" hidden="false" customHeight="false" outlineLevel="0" collapsed="false">
      <c r="A28" s="12" t="n">
        <v>24</v>
      </c>
      <c r="B28" s="13" t="s">
        <v>723</v>
      </c>
      <c r="C28" s="17" t="s">
        <v>10</v>
      </c>
      <c r="D28" s="17" t="s">
        <v>51</v>
      </c>
      <c r="E28" s="13" t="s">
        <v>115</v>
      </c>
      <c r="F28" s="13"/>
    </row>
    <row r="29" customFormat="false" ht="15" hidden="false" customHeight="false" outlineLevel="0" collapsed="false">
      <c r="A29" s="12" t="n">
        <v>25</v>
      </c>
      <c r="B29" s="13" t="s">
        <v>724</v>
      </c>
      <c r="C29" s="17" t="s">
        <v>8</v>
      </c>
      <c r="D29" s="17" t="s">
        <v>51</v>
      </c>
      <c r="E29" s="13" t="s">
        <v>725</v>
      </c>
      <c r="F29" s="13" t="s">
        <v>726</v>
      </c>
    </row>
    <row r="30" customFormat="false" ht="15" hidden="false" customHeight="false" outlineLevel="0" collapsed="false">
      <c r="A30" s="12" t="n">
        <v>26</v>
      </c>
      <c r="B30" s="13" t="s">
        <v>727</v>
      </c>
      <c r="C30" s="17" t="s">
        <v>10</v>
      </c>
      <c r="D30" s="17" t="s">
        <v>51</v>
      </c>
      <c r="E30" s="13" t="s">
        <v>109</v>
      </c>
      <c r="F30" s="13" t="s">
        <v>728</v>
      </c>
    </row>
    <row r="31" customFormat="false" ht="15" hidden="false" customHeight="false" outlineLevel="0" collapsed="false">
      <c r="A31" s="12" t="n">
        <v>27</v>
      </c>
      <c r="B31" s="13" t="s">
        <v>729</v>
      </c>
      <c r="C31" s="17" t="s">
        <v>8</v>
      </c>
      <c r="D31" s="17" t="s">
        <v>15</v>
      </c>
      <c r="E31" s="13" t="s">
        <v>130</v>
      </c>
      <c r="F31" s="13" t="s">
        <v>730</v>
      </c>
    </row>
    <row r="32" customFormat="false" ht="35.05" hidden="false" customHeight="false" outlineLevel="0" collapsed="false">
      <c r="A32" s="12" t="n">
        <v>28</v>
      </c>
      <c r="B32" s="13" t="s">
        <v>731</v>
      </c>
      <c r="C32" s="17" t="s">
        <v>10</v>
      </c>
      <c r="D32" s="17" t="s">
        <v>15</v>
      </c>
      <c r="E32" s="13" t="s">
        <v>732</v>
      </c>
      <c r="F32" s="13" t="s">
        <v>733</v>
      </c>
    </row>
    <row r="33" customFormat="false" ht="15" hidden="false" customHeight="false" outlineLevel="0" collapsed="false">
      <c r="A33" s="12" t="n">
        <v>29</v>
      </c>
      <c r="B33" s="13" t="s">
        <v>734</v>
      </c>
      <c r="C33" s="17" t="s">
        <v>7</v>
      </c>
      <c r="D33" s="17" t="s">
        <v>51</v>
      </c>
      <c r="E33" s="13" t="s">
        <v>176</v>
      </c>
      <c r="F33" s="13" t="s">
        <v>735</v>
      </c>
    </row>
    <row r="34" customFormat="false" ht="15" hidden="false" customHeight="false" outlineLevel="0" collapsed="false">
      <c r="A34" s="12" t="n">
        <v>30</v>
      </c>
      <c r="B34" s="13" t="s">
        <v>736</v>
      </c>
      <c r="C34" s="17" t="s">
        <v>8</v>
      </c>
      <c r="D34" s="17" t="s">
        <v>51</v>
      </c>
      <c r="E34" s="13" t="s">
        <v>737</v>
      </c>
      <c r="F34" s="13" t="s">
        <v>738</v>
      </c>
    </row>
    <row r="35" customFormat="false" ht="15" hidden="false" customHeight="false" outlineLevel="0" collapsed="false">
      <c r="A35" s="12" t="n">
        <v>31</v>
      </c>
      <c r="B35" s="13" t="s">
        <v>739</v>
      </c>
      <c r="C35" s="17" t="s">
        <v>8</v>
      </c>
      <c r="D35" s="17" t="s">
        <v>15</v>
      </c>
      <c r="E35" s="13" t="s">
        <v>113</v>
      </c>
      <c r="F35" s="13" t="s">
        <v>740</v>
      </c>
    </row>
    <row r="36" customFormat="false" ht="15" hidden="false" customHeight="false" outlineLevel="0" collapsed="false">
      <c r="A36" s="12" t="n">
        <v>32</v>
      </c>
      <c r="B36" s="13" t="s">
        <v>741</v>
      </c>
      <c r="C36" s="17" t="s">
        <v>8</v>
      </c>
      <c r="D36" s="17" t="s">
        <v>15</v>
      </c>
      <c r="E36" s="13" t="s">
        <v>130</v>
      </c>
      <c r="F36" s="13" t="s">
        <v>742</v>
      </c>
    </row>
    <row r="37" customFormat="false" ht="15" hidden="false" customHeight="false" outlineLevel="0" collapsed="false">
      <c r="A37" s="12" t="n">
        <v>33</v>
      </c>
      <c r="B37" s="13" t="s">
        <v>743</v>
      </c>
      <c r="C37" s="17" t="s">
        <v>8</v>
      </c>
      <c r="D37" s="17" t="s">
        <v>14</v>
      </c>
      <c r="E37" s="13" t="s">
        <v>173</v>
      </c>
      <c r="F37" s="13" t="s">
        <v>744</v>
      </c>
    </row>
    <row r="38" customFormat="false" ht="15" hidden="false" customHeight="false" outlineLevel="0" collapsed="false">
      <c r="A38" s="12" t="n">
        <v>34</v>
      </c>
      <c r="B38" s="13" t="s">
        <v>745</v>
      </c>
      <c r="C38" s="17" t="s">
        <v>8</v>
      </c>
      <c r="D38" s="17" t="s">
        <v>15</v>
      </c>
      <c r="E38" s="13" t="s">
        <v>167</v>
      </c>
      <c r="F38" s="13" t="s">
        <v>746</v>
      </c>
    </row>
    <row r="39" customFormat="false" ht="15" hidden="false" customHeight="false" outlineLevel="0" collapsed="false">
      <c r="A39" s="12" t="n">
        <v>35</v>
      </c>
      <c r="B39" s="13" t="s">
        <v>747</v>
      </c>
      <c r="C39" s="17" t="s">
        <v>8</v>
      </c>
      <c r="D39" s="17" t="s">
        <v>15</v>
      </c>
      <c r="E39" s="13" t="s">
        <v>115</v>
      </c>
      <c r="F39" s="13" t="s">
        <v>748</v>
      </c>
    </row>
    <row r="40" customFormat="false" ht="15" hidden="false" customHeight="false" outlineLevel="0" collapsed="false">
      <c r="A40" s="12" t="n">
        <v>36</v>
      </c>
      <c r="B40" s="13" t="s">
        <v>749</v>
      </c>
      <c r="C40" s="17" t="s">
        <v>7</v>
      </c>
      <c r="D40" s="17" t="s">
        <v>51</v>
      </c>
      <c r="E40" s="13" t="s">
        <v>96</v>
      </c>
      <c r="F40" s="13" t="s">
        <v>750</v>
      </c>
    </row>
    <row r="41" customFormat="false" ht="15" hidden="false" customHeight="false" outlineLevel="0" collapsed="false">
      <c r="A41" s="12" t="n">
        <v>37</v>
      </c>
      <c r="B41" s="13" t="s">
        <v>751</v>
      </c>
      <c r="C41" s="17" t="s">
        <v>10</v>
      </c>
      <c r="D41" s="17" t="s">
        <v>15</v>
      </c>
      <c r="E41" s="13" t="s">
        <v>289</v>
      </c>
      <c r="F41" s="13" t="s">
        <v>752</v>
      </c>
    </row>
    <row r="42" customFormat="false" ht="15" hidden="false" customHeight="false" outlineLevel="0" collapsed="false">
      <c r="A42" s="12" t="n">
        <v>38</v>
      </c>
      <c r="B42" s="13" t="s">
        <v>753</v>
      </c>
      <c r="C42" s="17" t="s">
        <v>8</v>
      </c>
      <c r="D42" s="17" t="s">
        <v>15</v>
      </c>
      <c r="E42" s="13" t="s">
        <v>167</v>
      </c>
      <c r="F42" s="13" t="s">
        <v>754</v>
      </c>
    </row>
    <row r="43" customFormat="false" ht="15" hidden="false" customHeight="false" outlineLevel="0" collapsed="false">
      <c r="A43" s="12" t="n">
        <v>39</v>
      </c>
      <c r="B43" s="13" t="s">
        <v>755</v>
      </c>
      <c r="C43" s="17" t="s">
        <v>7</v>
      </c>
      <c r="D43" s="17" t="s">
        <v>51</v>
      </c>
      <c r="E43" s="13" t="s">
        <v>135</v>
      </c>
      <c r="F43" s="13"/>
    </row>
    <row r="44" customFormat="false" ht="15" hidden="false" customHeight="false" outlineLevel="0" collapsed="false">
      <c r="A44" s="12" t="n">
        <v>40</v>
      </c>
      <c r="B44" s="13" t="s">
        <v>756</v>
      </c>
      <c r="C44" s="17" t="s">
        <v>7</v>
      </c>
      <c r="D44" s="17" t="s">
        <v>51</v>
      </c>
      <c r="E44" s="13" t="s">
        <v>687</v>
      </c>
      <c r="F44" s="13" t="s">
        <v>757</v>
      </c>
    </row>
    <row r="45" customFormat="false" ht="15" hidden="false" customHeight="false" outlineLevel="0" collapsed="false">
      <c r="A45" s="12" t="n">
        <v>41</v>
      </c>
      <c r="B45" s="13" t="s">
        <v>758</v>
      </c>
      <c r="C45" s="17" t="s">
        <v>8</v>
      </c>
      <c r="D45" s="17" t="s">
        <v>51</v>
      </c>
      <c r="E45" s="13" t="s">
        <v>195</v>
      </c>
      <c r="F45" s="13"/>
    </row>
    <row r="46" customFormat="false" ht="15" hidden="false" customHeight="false" outlineLevel="0" collapsed="false">
      <c r="A46" s="12" t="n">
        <v>42</v>
      </c>
      <c r="B46" s="13" t="s">
        <v>759</v>
      </c>
      <c r="C46" s="17" t="s">
        <v>7</v>
      </c>
      <c r="D46" s="17" t="s">
        <v>51</v>
      </c>
      <c r="E46" s="13" t="s">
        <v>81</v>
      </c>
      <c r="F46" s="13"/>
    </row>
    <row r="47" customFormat="false" ht="15" hidden="false" customHeight="false" outlineLevel="0" collapsed="false">
      <c r="A47" s="12" t="n">
        <v>43</v>
      </c>
      <c r="B47" s="13" t="s">
        <v>760</v>
      </c>
      <c r="C47" s="17" t="s">
        <v>7</v>
      </c>
      <c r="D47" s="17" t="s">
        <v>15</v>
      </c>
      <c r="E47" s="13" t="s">
        <v>195</v>
      </c>
      <c r="F47" s="13" t="s">
        <v>761</v>
      </c>
    </row>
    <row r="48" customFormat="false" ht="15" hidden="false" customHeight="false" outlineLevel="0" collapsed="false">
      <c r="A48" s="12" t="n">
        <v>44</v>
      </c>
      <c r="B48" s="13" t="s">
        <v>762</v>
      </c>
      <c r="C48" s="17" t="s">
        <v>9</v>
      </c>
      <c r="D48" s="17" t="s">
        <v>14</v>
      </c>
      <c r="E48" s="13" t="s">
        <v>763</v>
      </c>
      <c r="F48" s="13" t="s">
        <v>764</v>
      </c>
    </row>
    <row r="49" customFormat="false" ht="15" hidden="false" customHeight="false" outlineLevel="0" collapsed="false">
      <c r="A49" s="12" t="n">
        <v>45</v>
      </c>
      <c r="B49" s="13" t="s">
        <v>765</v>
      </c>
      <c r="C49" s="17" t="s">
        <v>6</v>
      </c>
      <c r="D49" s="17" t="s">
        <v>53</v>
      </c>
      <c r="E49" s="13" t="s">
        <v>135</v>
      </c>
      <c r="F49" s="13"/>
    </row>
    <row r="50" customFormat="false" ht="15" hidden="false" customHeight="false" outlineLevel="0" collapsed="false">
      <c r="A50" s="12" t="n">
        <v>46</v>
      </c>
      <c r="B50" s="13" t="s">
        <v>766</v>
      </c>
      <c r="C50" s="17" t="s">
        <v>8</v>
      </c>
      <c r="D50" s="17" t="s">
        <v>14</v>
      </c>
      <c r="E50" s="13" t="s">
        <v>615</v>
      </c>
      <c r="F50" s="13" t="s">
        <v>767</v>
      </c>
    </row>
    <row r="51" customFormat="false" ht="15" hidden="false" customHeight="false" outlineLevel="0" collapsed="false">
      <c r="A51" s="12" t="n">
        <v>47</v>
      </c>
      <c r="B51" s="13" t="s">
        <v>768</v>
      </c>
      <c r="C51" s="17" t="s">
        <v>7</v>
      </c>
      <c r="D51" s="17" t="s">
        <v>53</v>
      </c>
      <c r="E51" s="13" t="s">
        <v>135</v>
      </c>
      <c r="F51" s="13"/>
    </row>
    <row r="52" customFormat="false" ht="15" hidden="false" customHeight="false" outlineLevel="0" collapsed="false">
      <c r="A52" s="12" t="n">
        <v>48</v>
      </c>
      <c r="B52" s="13" t="s">
        <v>769</v>
      </c>
      <c r="C52" s="17" t="s">
        <v>7</v>
      </c>
      <c r="D52" s="17" t="s">
        <v>15</v>
      </c>
      <c r="E52" s="13" t="s">
        <v>130</v>
      </c>
      <c r="F52" s="13" t="s">
        <v>770</v>
      </c>
    </row>
    <row r="53" customFormat="false" ht="15" hidden="false" customHeight="false" outlineLevel="0" collapsed="false">
      <c r="A53" s="12" t="n">
        <v>49</v>
      </c>
      <c r="B53" s="13" t="s">
        <v>771</v>
      </c>
      <c r="C53" s="17" t="s">
        <v>6</v>
      </c>
      <c r="D53" s="17" t="s">
        <v>53</v>
      </c>
      <c r="E53" s="13" t="s">
        <v>135</v>
      </c>
      <c r="F53" s="13"/>
    </row>
    <row r="54" customFormat="false" ht="15" hidden="false" customHeight="false" outlineLevel="0" collapsed="false">
      <c r="A54" s="12" t="n">
        <v>50</v>
      </c>
      <c r="B54" s="13" t="s">
        <v>772</v>
      </c>
      <c r="C54" s="17" t="s">
        <v>10</v>
      </c>
      <c r="D54" s="17" t="s">
        <v>14</v>
      </c>
      <c r="E54" s="13" t="s">
        <v>93</v>
      </c>
      <c r="F54" s="13" t="s">
        <v>773</v>
      </c>
    </row>
    <row r="55" customFormat="false" ht="15" hidden="false" customHeight="false" outlineLevel="0" collapsed="false">
      <c r="A55" s="12" t="n">
        <v>51</v>
      </c>
      <c r="B55" s="13" t="s">
        <v>774</v>
      </c>
      <c r="C55" s="17" t="s">
        <v>10</v>
      </c>
      <c r="D55" s="17" t="s">
        <v>51</v>
      </c>
      <c r="E55" s="13" t="s">
        <v>612</v>
      </c>
      <c r="F55" s="13"/>
    </row>
    <row r="56" customFormat="false" ht="15" hidden="false" customHeight="false" outlineLevel="0" collapsed="false">
      <c r="A56" s="12" t="n">
        <v>52</v>
      </c>
      <c r="B56" s="13" t="s">
        <v>775</v>
      </c>
      <c r="C56" s="17" t="s">
        <v>8</v>
      </c>
      <c r="D56" s="17" t="s">
        <v>15</v>
      </c>
      <c r="E56" s="13" t="s">
        <v>176</v>
      </c>
      <c r="F56" s="13" t="s">
        <v>776</v>
      </c>
    </row>
    <row r="57" customFormat="false" ht="15" hidden="false" customHeight="false" outlineLevel="0" collapsed="false">
      <c r="A57" s="12" t="n">
        <v>53</v>
      </c>
      <c r="B57" s="13" t="s">
        <v>777</v>
      </c>
      <c r="C57" s="17" t="s">
        <v>10</v>
      </c>
      <c r="D57" s="17" t="s">
        <v>51</v>
      </c>
      <c r="E57" s="13" t="s">
        <v>309</v>
      </c>
      <c r="F57" s="13"/>
    </row>
    <row r="58" customFormat="false" ht="15" hidden="false" customHeight="false" outlineLevel="0" collapsed="false">
      <c r="A58" s="12" t="n">
        <v>54</v>
      </c>
      <c r="B58" s="13" t="s">
        <v>778</v>
      </c>
      <c r="C58" s="17" t="s">
        <v>10</v>
      </c>
      <c r="D58" s="17" t="s">
        <v>15</v>
      </c>
      <c r="E58" s="13" t="s">
        <v>75</v>
      </c>
      <c r="F58" s="13" t="s">
        <v>779</v>
      </c>
    </row>
    <row r="59" customFormat="false" ht="15" hidden="false" customHeight="false" outlineLevel="0" collapsed="false">
      <c r="A59" s="12" t="n">
        <v>55</v>
      </c>
      <c r="B59" s="13" t="s">
        <v>780</v>
      </c>
      <c r="C59" s="17" t="s">
        <v>10</v>
      </c>
      <c r="D59" s="17" t="s">
        <v>51</v>
      </c>
      <c r="E59" s="13" t="s">
        <v>210</v>
      </c>
      <c r="F59" s="13" t="s">
        <v>781</v>
      </c>
    </row>
    <row r="60" customFormat="false" ht="23.85" hidden="false" customHeight="false" outlineLevel="0" collapsed="false">
      <c r="A60" s="12" t="n">
        <v>56</v>
      </c>
      <c r="B60" s="13" t="s">
        <v>782</v>
      </c>
      <c r="C60" s="17" t="s">
        <v>10</v>
      </c>
      <c r="D60" s="17" t="s">
        <v>51</v>
      </c>
      <c r="E60" s="13" t="s">
        <v>783</v>
      </c>
      <c r="F60" s="13" t="s">
        <v>784</v>
      </c>
    </row>
    <row r="61" customFormat="false" ht="23.85" hidden="false" customHeight="false" outlineLevel="0" collapsed="false">
      <c r="A61" s="12" t="n">
        <v>57</v>
      </c>
      <c r="B61" s="13" t="s">
        <v>785</v>
      </c>
      <c r="C61" s="17" t="s">
        <v>10</v>
      </c>
      <c r="D61" s="17" t="s">
        <v>51</v>
      </c>
      <c r="E61" s="13" t="s">
        <v>75</v>
      </c>
      <c r="F61" s="13" t="s">
        <v>786</v>
      </c>
    </row>
    <row r="62" customFormat="false" ht="23.85" hidden="false" customHeight="false" outlineLevel="0" collapsed="false">
      <c r="A62" s="12" t="n">
        <v>58</v>
      </c>
      <c r="B62" s="13" t="s">
        <v>787</v>
      </c>
      <c r="C62" s="17" t="s">
        <v>8</v>
      </c>
      <c r="D62" s="17" t="s">
        <v>15</v>
      </c>
      <c r="E62" s="13" t="s">
        <v>130</v>
      </c>
      <c r="F62" s="13" t="s">
        <v>788</v>
      </c>
    </row>
    <row r="63" customFormat="false" ht="23.85" hidden="false" customHeight="false" outlineLevel="0" collapsed="false">
      <c r="A63" s="12" t="n">
        <v>59</v>
      </c>
      <c r="B63" s="13" t="s">
        <v>789</v>
      </c>
      <c r="C63" s="17" t="s">
        <v>8</v>
      </c>
      <c r="D63" s="17" t="s">
        <v>15</v>
      </c>
      <c r="E63" s="13" t="s">
        <v>790</v>
      </c>
      <c r="F63" s="13" t="s">
        <v>791</v>
      </c>
    </row>
    <row r="64" customFormat="false" ht="23.85" hidden="false" customHeight="false" outlineLevel="0" collapsed="false">
      <c r="A64" s="12" t="n">
        <v>60</v>
      </c>
      <c r="B64" s="13" t="s">
        <v>792</v>
      </c>
      <c r="C64" s="17" t="s">
        <v>8</v>
      </c>
      <c r="D64" s="17" t="s">
        <v>15</v>
      </c>
      <c r="E64" s="13" t="s">
        <v>130</v>
      </c>
      <c r="F64" s="13" t="s">
        <v>793</v>
      </c>
    </row>
    <row r="65" customFormat="false" ht="23.85" hidden="false" customHeight="false" outlineLevel="0" collapsed="false">
      <c r="A65" s="12" t="n">
        <v>61</v>
      </c>
      <c r="B65" s="13" t="s">
        <v>794</v>
      </c>
      <c r="C65" s="17" t="s">
        <v>10</v>
      </c>
      <c r="D65" s="17" t="s">
        <v>51</v>
      </c>
      <c r="E65" s="13" t="s">
        <v>612</v>
      </c>
      <c r="F65" s="13" t="s">
        <v>795</v>
      </c>
    </row>
    <row r="66" customFormat="false" ht="23.85" hidden="false" customHeight="false" outlineLevel="0" collapsed="false">
      <c r="A66" s="12" t="n">
        <v>62</v>
      </c>
      <c r="B66" s="13" t="s">
        <v>796</v>
      </c>
      <c r="C66" s="17" t="s">
        <v>10</v>
      </c>
      <c r="D66" s="17" t="s">
        <v>51</v>
      </c>
      <c r="E66" s="13" t="s">
        <v>615</v>
      </c>
      <c r="F66" s="13" t="s">
        <v>797</v>
      </c>
    </row>
    <row r="67" customFormat="false" ht="23.85" hidden="false" customHeight="false" outlineLevel="0" collapsed="false">
      <c r="A67" s="12" t="n">
        <v>63</v>
      </c>
      <c r="B67" s="13" t="s">
        <v>798</v>
      </c>
      <c r="C67" s="17" t="s">
        <v>10</v>
      </c>
      <c r="D67" s="17" t="s">
        <v>53</v>
      </c>
      <c r="E67" s="13" t="s">
        <v>210</v>
      </c>
      <c r="F67" s="13" t="s">
        <v>799</v>
      </c>
    </row>
    <row r="68" customFormat="false" ht="23.85" hidden="false" customHeight="false" outlineLevel="0" collapsed="false">
      <c r="A68" s="12" t="n">
        <v>64</v>
      </c>
      <c r="B68" s="13" t="s">
        <v>800</v>
      </c>
      <c r="C68" s="17" t="s">
        <v>10</v>
      </c>
      <c r="D68" s="17" t="s">
        <v>15</v>
      </c>
      <c r="E68" s="13" t="s">
        <v>70</v>
      </c>
      <c r="F68" s="13" t="s">
        <v>801</v>
      </c>
    </row>
    <row r="70" customFormat="false" ht="15" hidden="false" customHeight="false" outlineLevel="0" collapsed="false">
      <c r="B70" s="20" t="s">
        <v>802</v>
      </c>
      <c r="C70" s="21" t="n">
        <f aca="false">COUNTA(B5:B68)</f>
        <v>64</v>
      </c>
    </row>
    <row r="71" customFormat="false" ht="15" hidden="false" customHeight="false" outlineLevel="0" collapsed="false">
      <c r="B71" s="20" t="s">
        <v>803</v>
      </c>
      <c r="C71" s="21" t="n">
        <f aca="false">COUNTIF(C5:C68,"Strong")+COUNTIF(C5:C68,"Present")</f>
        <v>15</v>
      </c>
    </row>
    <row r="72" customFormat="false" ht="15" hidden="false" customHeight="false" outlineLevel="0" collapsed="false">
      <c r="B72" s="20" t="s">
        <v>8</v>
      </c>
      <c r="C72" s="21" t="n">
        <f aca="false">COUNTIF(C5:C68,"Partial")</f>
        <v>28</v>
      </c>
    </row>
    <row r="73" customFormat="false" ht="15" hidden="false" customHeight="false" outlineLevel="0" collapsed="false">
      <c r="B73" s="20" t="s">
        <v>804</v>
      </c>
      <c r="C73" s="21" t="n">
        <f aca="false">COUNTIF(C5:C68,"Absent")+COUNTIF(C5:C68,"Mock")</f>
        <v>21</v>
      </c>
    </row>
    <row r="74" customFormat="false" ht="15" hidden="false" customHeight="false" outlineLevel="0" collapsed="false">
      <c r="B74" s="20" t="s">
        <v>805</v>
      </c>
      <c r="C74" s="22" t="n">
        <f aca="false">IFERROR((COUNTIF(C5:C68,"Strong")*1+COUNTIF(C5:C68,"Present")*0.85+COUNTIF(C5:C68,"Partial")*0.4+COUNTIF(C5:C68,"Mock")*0.05)/C70,0)</f>
        <v>0.38203125</v>
      </c>
    </row>
  </sheetData>
  <autoFilter ref="A4:F68"/>
  <conditionalFormatting sqref="C5:C68">
    <cfRule type="cellIs" priority="2" operator="equal" aboveAverage="0" equalAverage="0" bottom="0" percent="0" rank="0" text="" dxfId="24">
      <formula>"Absent"</formula>
    </cfRule>
    <cfRule type="cellIs" priority="3" operator="equal" aboveAverage="0" equalAverage="0" bottom="0" percent="0" rank="0" text="" dxfId="25">
      <formula>"Mock"</formula>
    </cfRule>
    <cfRule type="cellIs" priority="4" operator="equal" aboveAverage="0" equalAverage="0" bottom="0" percent="0" rank="0" text="" dxfId="26">
      <formula>"Partial"</formula>
    </cfRule>
    <cfRule type="cellIs" priority="5" operator="equal" aboveAverage="0" equalAverage="0" bottom="0" percent="0" rank="0" text="" dxfId="27">
      <formula>"Present"</formula>
    </cfRule>
    <cfRule type="cellIs" priority="6" operator="equal" aboveAverage="0" equalAverage="0" bottom="0" percent="0" rank="0" text="" dxfId="28">
      <formula>"Strong"</formula>
    </cfRule>
  </conditionalFormatting>
  <conditionalFormatting sqref="D5:D68">
    <cfRule type="cellIs" priority="7" operator="equal" aboveAverage="0" equalAverage="0" bottom="0" percent="0" rank="0" text="" dxfId="29">
      <formula>"P0"</formula>
    </cfRule>
    <cfRule type="cellIs" priority="8" operator="equal" aboveAverage="0" equalAverage="0" bottom="0" percent="0" rank="0" text="" dxfId="30">
      <formula>"P1"</formula>
    </cfRule>
    <cfRule type="cellIs" priority="9" operator="equal" aboveAverage="0" equalAverage="0" bottom="0" percent="0" rank="0" text="" dxfId="31">
      <formula>"P2"</formula>
    </cfRule>
    <cfRule type="cellIs" priority="10" operator="equal" aboveAverage="0" equalAverage="0" bottom="0" percent="0" rank="0" text="" dxfId="32">
      <formula>"P3"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8" t="s">
        <v>806</v>
      </c>
    </row>
    <row r="2" customFormat="false" ht="15" hidden="false" customHeight="false" outlineLevel="0" collapsed="false">
      <c r="A2" s="19" t="s">
        <v>807</v>
      </c>
    </row>
    <row r="4" customFormat="false" ht="30" hidden="false" customHeight="true" outlineLevel="0" collapsed="false">
      <c r="A4" s="5" t="s">
        <v>48</v>
      </c>
      <c r="B4" s="5" t="s">
        <v>66</v>
      </c>
      <c r="C4" s="5" t="s">
        <v>4</v>
      </c>
      <c r="D4" s="5" t="s">
        <v>63</v>
      </c>
      <c r="E4" s="5" t="s">
        <v>65</v>
      </c>
      <c r="F4" s="5" t="s">
        <v>67</v>
      </c>
    </row>
    <row r="5" customFormat="false" ht="23.85" hidden="false" customHeight="false" outlineLevel="0" collapsed="false">
      <c r="A5" s="12" t="s">
        <v>14</v>
      </c>
      <c r="B5" s="13" t="s">
        <v>93</v>
      </c>
      <c r="C5" s="13" t="s">
        <v>16</v>
      </c>
      <c r="D5" s="13" t="s">
        <v>92</v>
      </c>
      <c r="E5" s="17" t="s">
        <v>8</v>
      </c>
      <c r="F5" s="13" t="s">
        <v>94</v>
      </c>
    </row>
    <row r="6" customFormat="false" ht="23.85" hidden="false" customHeight="false" outlineLevel="0" collapsed="false">
      <c r="A6" s="12" t="s">
        <v>14</v>
      </c>
      <c r="B6" s="13" t="s">
        <v>86</v>
      </c>
      <c r="C6" s="13" t="s">
        <v>16</v>
      </c>
      <c r="D6" s="13" t="s">
        <v>85</v>
      </c>
      <c r="E6" s="17" t="s">
        <v>8</v>
      </c>
      <c r="F6" s="13" t="s">
        <v>87</v>
      </c>
    </row>
    <row r="7" customFormat="false" ht="23.85" hidden="false" customHeight="false" outlineLevel="0" collapsed="false">
      <c r="A7" s="12" t="s">
        <v>14</v>
      </c>
      <c r="B7" s="13" t="s">
        <v>555</v>
      </c>
      <c r="C7" s="13" t="s">
        <v>33</v>
      </c>
      <c r="D7" s="13" t="s">
        <v>554</v>
      </c>
      <c r="E7" s="17" t="s">
        <v>8</v>
      </c>
      <c r="F7" s="13" t="s">
        <v>556</v>
      </c>
    </row>
    <row r="8" customFormat="false" ht="23.85" hidden="false" customHeight="false" outlineLevel="0" collapsed="false">
      <c r="A8" s="12" t="s">
        <v>14</v>
      </c>
      <c r="B8" s="13" t="s">
        <v>555</v>
      </c>
      <c r="C8" s="13" t="s">
        <v>33</v>
      </c>
      <c r="D8" s="13" t="s">
        <v>557</v>
      </c>
      <c r="E8" s="17" t="s">
        <v>10</v>
      </c>
      <c r="F8" s="13" t="s">
        <v>558</v>
      </c>
    </row>
    <row r="9" customFormat="false" ht="23.85" hidden="false" customHeight="false" outlineLevel="0" collapsed="false">
      <c r="A9" s="12" t="s">
        <v>14</v>
      </c>
      <c r="B9" s="13" t="s">
        <v>555</v>
      </c>
      <c r="C9" s="13" t="s">
        <v>33</v>
      </c>
      <c r="D9" s="13" t="s">
        <v>561</v>
      </c>
      <c r="E9" s="17" t="s">
        <v>8</v>
      </c>
      <c r="F9" s="13" t="s">
        <v>562</v>
      </c>
    </row>
    <row r="10" customFormat="false" ht="23.85" hidden="false" customHeight="false" outlineLevel="0" collapsed="false">
      <c r="A10" s="12" t="s">
        <v>14</v>
      </c>
      <c r="B10" s="13" t="s">
        <v>555</v>
      </c>
      <c r="C10" s="13" t="s">
        <v>33</v>
      </c>
      <c r="D10" s="13" t="s">
        <v>563</v>
      </c>
      <c r="E10" s="17" t="s">
        <v>8</v>
      </c>
      <c r="F10" s="13" t="s">
        <v>564</v>
      </c>
    </row>
    <row r="11" customFormat="false" ht="23.85" hidden="false" customHeight="false" outlineLevel="0" collapsed="false">
      <c r="A11" s="12" t="s">
        <v>14</v>
      </c>
      <c r="B11" s="13" t="s">
        <v>555</v>
      </c>
      <c r="C11" s="13" t="s">
        <v>33</v>
      </c>
      <c r="D11" s="13" t="s">
        <v>567</v>
      </c>
      <c r="E11" s="17" t="s">
        <v>10</v>
      </c>
      <c r="F11" s="13" t="s">
        <v>568</v>
      </c>
    </row>
    <row r="12" customFormat="false" ht="15" hidden="false" customHeight="false" outlineLevel="0" collapsed="false">
      <c r="A12" s="12" t="s">
        <v>14</v>
      </c>
      <c r="B12" s="13" t="s">
        <v>173</v>
      </c>
      <c r="C12" s="13" t="s">
        <v>18</v>
      </c>
      <c r="D12" s="13" t="s">
        <v>172</v>
      </c>
      <c r="E12" s="17" t="s">
        <v>8</v>
      </c>
      <c r="F12" s="13" t="s">
        <v>174</v>
      </c>
    </row>
    <row r="13" customFormat="false" ht="23.85" hidden="false" customHeight="false" outlineLevel="0" collapsed="false">
      <c r="A13" s="12" t="s">
        <v>14</v>
      </c>
      <c r="B13" s="13" t="s">
        <v>476</v>
      </c>
      <c r="C13" s="13" t="s">
        <v>30</v>
      </c>
      <c r="D13" s="13" t="s">
        <v>492</v>
      </c>
      <c r="E13" s="17" t="s">
        <v>9</v>
      </c>
      <c r="F13" s="13" t="s">
        <v>493</v>
      </c>
    </row>
    <row r="14" customFormat="false" ht="15" hidden="false" customHeight="false" outlineLevel="0" collapsed="false">
      <c r="A14" s="12" t="s">
        <v>14</v>
      </c>
      <c r="B14" s="13" t="s">
        <v>476</v>
      </c>
      <c r="C14" s="13" t="s">
        <v>30</v>
      </c>
      <c r="D14" s="13" t="s">
        <v>495</v>
      </c>
      <c r="E14" s="17" t="s">
        <v>10</v>
      </c>
      <c r="F14" s="13" t="s">
        <v>496</v>
      </c>
    </row>
    <row r="15" customFormat="false" ht="15" hidden="false" customHeight="false" outlineLevel="0" collapsed="false">
      <c r="A15" s="12" t="s">
        <v>14</v>
      </c>
      <c r="B15" s="13" t="s">
        <v>476</v>
      </c>
      <c r="C15" s="13" t="s">
        <v>30</v>
      </c>
      <c r="D15" s="13" t="s">
        <v>497</v>
      </c>
      <c r="E15" s="17" t="s">
        <v>10</v>
      </c>
      <c r="F15" s="13"/>
    </row>
    <row r="16" customFormat="false" ht="15" hidden="false" customHeight="false" outlineLevel="0" collapsed="false">
      <c r="A16" s="12" t="s">
        <v>14</v>
      </c>
      <c r="B16" s="13" t="s">
        <v>115</v>
      </c>
      <c r="C16" s="13" t="s">
        <v>31</v>
      </c>
      <c r="D16" s="13" t="s">
        <v>513</v>
      </c>
      <c r="E16" s="17" t="s">
        <v>10</v>
      </c>
      <c r="F16" s="13" t="s">
        <v>514</v>
      </c>
    </row>
    <row r="17" customFormat="false" ht="23.85" hidden="false" customHeight="false" outlineLevel="0" collapsed="false">
      <c r="A17" s="12" t="s">
        <v>14</v>
      </c>
      <c r="B17" s="13" t="s">
        <v>450</v>
      </c>
      <c r="C17" s="13" t="s">
        <v>29</v>
      </c>
      <c r="D17" s="13" t="s">
        <v>459</v>
      </c>
      <c r="E17" s="17" t="s">
        <v>10</v>
      </c>
      <c r="F17" s="13" t="s">
        <v>460</v>
      </c>
    </row>
    <row r="18" customFormat="false" ht="15" hidden="false" customHeight="false" outlineLevel="0" collapsed="false">
      <c r="A18" s="12" t="s">
        <v>14</v>
      </c>
      <c r="B18" s="13" t="s">
        <v>450</v>
      </c>
      <c r="C18" s="13" t="s">
        <v>29</v>
      </c>
      <c r="D18" s="13" t="s">
        <v>463</v>
      </c>
      <c r="E18" s="17" t="s">
        <v>10</v>
      </c>
      <c r="F18" s="13"/>
    </row>
    <row r="19" customFormat="false" ht="15" hidden="false" customHeight="false" outlineLevel="0" collapsed="false">
      <c r="A19" s="12" t="s">
        <v>14</v>
      </c>
      <c r="B19" s="13" t="s">
        <v>583</v>
      </c>
      <c r="C19" s="13" t="s">
        <v>34</v>
      </c>
      <c r="D19" s="13" t="s">
        <v>585</v>
      </c>
      <c r="E19" s="17" t="s">
        <v>8</v>
      </c>
      <c r="F19" s="13" t="s">
        <v>586</v>
      </c>
    </row>
    <row r="20" customFormat="false" ht="23.85" hidden="false" customHeight="false" outlineLevel="0" collapsed="false">
      <c r="A20" s="12" t="s">
        <v>14</v>
      </c>
      <c r="B20" s="13" t="s">
        <v>641</v>
      </c>
      <c r="C20" s="13" t="s">
        <v>35</v>
      </c>
      <c r="D20" s="13" t="s">
        <v>640</v>
      </c>
      <c r="E20" s="17" t="s">
        <v>10</v>
      </c>
      <c r="F20" s="13" t="s">
        <v>642</v>
      </c>
    </row>
    <row r="21" customFormat="false" ht="15" hidden="false" customHeight="false" outlineLevel="0" collapsed="false">
      <c r="A21" s="12" t="s">
        <v>15</v>
      </c>
      <c r="B21" s="13" t="s">
        <v>135</v>
      </c>
      <c r="C21" s="13" t="s">
        <v>24</v>
      </c>
      <c r="D21" s="13" t="s">
        <v>349</v>
      </c>
      <c r="E21" s="17" t="s">
        <v>7</v>
      </c>
      <c r="F21" s="13" t="s">
        <v>350</v>
      </c>
    </row>
    <row r="22" customFormat="false" ht="23.85" hidden="false" customHeight="false" outlineLevel="0" collapsed="false">
      <c r="A22" s="12" t="s">
        <v>15</v>
      </c>
      <c r="B22" s="13" t="s">
        <v>555</v>
      </c>
      <c r="C22" s="13" t="s">
        <v>33</v>
      </c>
      <c r="D22" s="13" t="s">
        <v>559</v>
      </c>
      <c r="E22" s="17" t="s">
        <v>8</v>
      </c>
      <c r="F22" s="13" t="s">
        <v>560</v>
      </c>
    </row>
    <row r="23" customFormat="false" ht="23.85" hidden="false" customHeight="false" outlineLevel="0" collapsed="false">
      <c r="A23" s="12" t="s">
        <v>15</v>
      </c>
      <c r="B23" s="13" t="s">
        <v>555</v>
      </c>
      <c r="C23" s="13" t="s">
        <v>33</v>
      </c>
      <c r="D23" s="13" t="s">
        <v>565</v>
      </c>
      <c r="E23" s="17" t="s">
        <v>8</v>
      </c>
      <c r="F23" s="13"/>
    </row>
    <row r="24" customFormat="false" ht="15" hidden="false" customHeight="false" outlineLevel="0" collapsed="false">
      <c r="A24" s="12" t="s">
        <v>15</v>
      </c>
      <c r="B24" s="13" t="s">
        <v>106</v>
      </c>
      <c r="C24" s="13" t="s">
        <v>16</v>
      </c>
      <c r="D24" s="13" t="s">
        <v>105</v>
      </c>
      <c r="E24" s="17" t="s">
        <v>8</v>
      </c>
      <c r="F24" s="13" t="s">
        <v>107</v>
      </c>
    </row>
    <row r="25" customFormat="false" ht="15" hidden="false" customHeight="false" outlineLevel="0" collapsed="false">
      <c r="A25" s="12" t="s">
        <v>15</v>
      </c>
      <c r="B25" s="13" t="s">
        <v>148</v>
      </c>
      <c r="C25" s="13" t="s">
        <v>17</v>
      </c>
      <c r="D25" s="13" t="s">
        <v>147</v>
      </c>
      <c r="E25" s="17" t="s">
        <v>9</v>
      </c>
      <c r="F25" s="13" t="s">
        <v>149</v>
      </c>
    </row>
    <row r="26" customFormat="false" ht="15" hidden="false" customHeight="false" outlineLevel="0" collapsed="false">
      <c r="A26" s="12" t="s">
        <v>15</v>
      </c>
      <c r="B26" s="13" t="s">
        <v>75</v>
      </c>
      <c r="C26" s="13" t="s">
        <v>16</v>
      </c>
      <c r="D26" s="13" t="s">
        <v>74</v>
      </c>
      <c r="E26" s="17" t="s">
        <v>10</v>
      </c>
      <c r="F26" s="13" t="s">
        <v>76</v>
      </c>
    </row>
    <row r="27" customFormat="false" ht="23.85" hidden="false" customHeight="false" outlineLevel="0" collapsed="false">
      <c r="A27" s="12" t="s">
        <v>15</v>
      </c>
      <c r="B27" s="13" t="s">
        <v>75</v>
      </c>
      <c r="C27" s="13" t="s">
        <v>16</v>
      </c>
      <c r="D27" s="13" t="s">
        <v>77</v>
      </c>
      <c r="E27" s="17" t="s">
        <v>8</v>
      </c>
      <c r="F27" s="13" t="s">
        <v>78</v>
      </c>
    </row>
    <row r="28" customFormat="false" ht="15" hidden="false" customHeight="false" outlineLevel="0" collapsed="false">
      <c r="A28" s="12" t="s">
        <v>15</v>
      </c>
      <c r="B28" s="13" t="s">
        <v>75</v>
      </c>
      <c r="C28" s="13" t="s">
        <v>16</v>
      </c>
      <c r="D28" s="13" t="s">
        <v>79</v>
      </c>
      <c r="E28" s="17" t="s">
        <v>10</v>
      </c>
      <c r="F28" s="13"/>
    </row>
    <row r="29" customFormat="false" ht="15" hidden="false" customHeight="false" outlineLevel="0" collapsed="false">
      <c r="A29" s="12" t="s">
        <v>15</v>
      </c>
      <c r="B29" s="13" t="s">
        <v>75</v>
      </c>
      <c r="C29" s="13" t="s">
        <v>16</v>
      </c>
      <c r="D29" s="13" t="s">
        <v>90</v>
      </c>
      <c r="E29" s="17" t="s">
        <v>8</v>
      </c>
      <c r="F29" s="13" t="s">
        <v>91</v>
      </c>
    </row>
    <row r="30" customFormat="false" ht="15" hidden="false" customHeight="false" outlineLevel="0" collapsed="false">
      <c r="A30" s="12" t="s">
        <v>15</v>
      </c>
      <c r="B30" s="13" t="s">
        <v>75</v>
      </c>
      <c r="C30" s="13" t="s">
        <v>16</v>
      </c>
      <c r="D30" s="13" t="s">
        <v>97</v>
      </c>
      <c r="E30" s="17" t="s">
        <v>10</v>
      </c>
      <c r="F30" s="13" t="s">
        <v>98</v>
      </c>
    </row>
    <row r="31" customFormat="false" ht="15" hidden="false" customHeight="false" outlineLevel="0" collapsed="false">
      <c r="A31" s="12" t="s">
        <v>15</v>
      </c>
      <c r="B31" s="13" t="s">
        <v>70</v>
      </c>
      <c r="C31" s="13" t="s">
        <v>16</v>
      </c>
      <c r="D31" s="13" t="s">
        <v>68</v>
      </c>
      <c r="E31" s="17" t="s">
        <v>10</v>
      </c>
      <c r="F31" s="13" t="s">
        <v>71</v>
      </c>
    </row>
    <row r="32" customFormat="false" ht="15" hidden="false" customHeight="false" outlineLevel="0" collapsed="false">
      <c r="A32" s="12" t="s">
        <v>15</v>
      </c>
      <c r="B32" s="13" t="s">
        <v>70</v>
      </c>
      <c r="C32" s="13" t="s">
        <v>16</v>
      </c>
      <c r="D32" s="13" t="s">
        <v>72</v>
      </c>
      <c r="E32" s="17" t="s">
        <v>10</v>
      </c>
      <c r="F32" s="13" t="s">
        <v>73</v>
      </c>
    </row>
    <row r="33" customFormat="false" ht="23.85" hidden="false" customHeight="false" outlineLevel="0" collapsed="false">
      <c r="A33" s="12" t="s">
        <v>15</v>
      </c>
      <c r="B33" s="13" t="s">
        <v>70</v>
      </c>
      <c r="C33" s="13" t="s">
        <v>16</v>
      </c>
      <c r="D33" s="13" t="s">
        <v>619</v>
      </c>
      <c r="E33" s="17" t="s">
        <v>10</v>
      </c>
      <c r="F33" s="13" t="s">
        <v>620</v>
      </c>
    </row>
    <row r="34" customFormat="false" ht="23.85" hidden="false" customHeight="false" outlineLevel="0" collapsed="false">
      <c r="A34" s="12" t="s">
        <v>15</v>
      </c>
      <c r="B34" s="13" t="s">
        <v>666</v>
      </c>
      <c r="C34" s="13" t="s">
        <v>35</v>
      </c>
      <c r="D34" s="13" t="s">
        <v>665</v>
      </c>
      <c r="E34" s="17" t="s">
        <v>10</v>
      </c>
      <c r="F34" s="13" t="s">
        <v>667</v>
      </c>
    </row>
    <row r="35" customFormat="false" ht="23.85" hidden="false" customHeight="false" outlineLevel="0" collapsed="false">
      <c r="A35" s="12" t="s">
        <v>15</v>
      </c>
      <c r="B35" s="13" t="s">
        <v>256</v>
      </c>
      <c r="C35" s="13" t="s">
        <v>20</v>
      </c>
      <c r="D35" s="13" t="s">
        <v>255</v>
      </c>
      <c r="E35" s="17" t="s">
        <v>10</v>
      </c>
      <c r="F35" s="13" t="s">
        <v>257</v>
      </c>
    </row>
    <row r="36" customFormat="false" ht="15" hidden="false" customHeight="false" outlineLevel="0" collapsed="false">
      <c r="A36" s="12" t="s">
        <v>15</v>
      </c>
      <c r="B36" s="13" t="s">
        <v>81</v>
      </c>
      <c r="C36" s="13" t="s">
        <v>16</v>
      </c>
      <c r="D36" s="13" t="s">
        <v>80</v>
      </c>
      <c r="E36" s="17" t="s">
        <v>10</v>
      </c>
      <c r="F36" s="13" t="s">
        <v>82</v>
      </c>
    </row>
    <row r="37" customFormat="false" ht="15" hidden="false" customHeight="false" outlineLevel="0" collapsed="false">
      <c r="A37" s="12" t="s">
        <v>15</v>
      </c>
      <c r="B37" s="13" t="s">
        <v>81</v>
      </c>
      <c r="C37" s="13" t="s">
        <v>16</v>
      </c>
      <c r="D37" s="13" t="s">
        <v>83</v>
      </c>
      <c r="E37" s="17" t="s">
        <v>10</v>
      </c>
      <c r="F37" s="13" t="s">
        <v>84</v>
      </c>
    </row>
    <row r="38" customFormat="false" ht="15" hidden="false" customHeight="false" outlineLevel="0" collapsed="false">
      <c r="A38" s="12" t="s">
        <v>15</v>
      </c>
      <c r="B38" s="13" t="s">
        <v>100</v>
      </c>
      <c r="C38" s="13" t="s">
        <v>16</v>
      </c>
      <c r="D38" s="13" t="s">
        <v>99</v>
      </c>
      <c r="E38" s="17" t="s">
        <v>10</v>
      </c>
      <c r="F38" s="13" t="s">
        <v>101</v>
      </c>
    </row>
    <row r="39" customFormat="false" ht="15" hidden="false" customHeight="false" outlineLevel="0" collapsed="false">
      <c r="A39" s="12" t="s">
        <v>15</v>
      </c>
      <c r="B39" s="13" t="s">
        <v>185</v>
      </c>
      <c r="C39" s="13" t="s">
        <v>18</v>
      </c>
      <c r="D39" s="13" t="s">
        <v>184</v>
      </c>
      <c r="E39" s="17" t="s">
        <v>10</v>
      </c>
      <c r="F39" s="13"/>
    </row>
    <row r="40" customFormat="false" ht="23.85" hidden="false" customHeight="false" outlineLevel="0" collapsed="false">
      <c r="A40" s="12" t="s">
        <v>15</v>
      </c>
      <c r="B40" s="13" t="s">
        <v>436</v>
      </c>
      <c r="C40" s="13" t="s">
        <v>28</v>
      </c>
      <c r="D40" s="13" t="s">
        <v>441</v>
      </c>
      <c r="E40" s="17" t="s">
        <v>8</v>
      </c>
      <c r="F40" s="13" t="s">
        <v>442</v>
      </c>
    </row>
    <row r="41" customFormat="false" ht="15" hidden="false" customHeight="false" outlineLevel="0" collapsed="false">
      <c r="A41" s="12" t="s">
        <v>15</v>
      </c>
      <c r="B41" s="13" t="s">
        <v>96</v>
      </c>
      <c r="C41" s="13" t="s">
        <v>16</v>
      </c>
      <c r="D41" s="13" t="s">
        <v>95</v>
      </c>
      <c r="E41" s="17" t="s">
        <v>10</v>
      </c>
      <c r="F41" s="13"/>
    </row>
    <row r="42" customFormat="false" ht="15" hidden="false" customHeight="false" outlineLevel="0" collapsed="false">
      <c r="A42" s="12" t="s">
        <v>15</v>
      </c>
      <c r="B42" s="13" t="s">
        <v>96</v>
      </c>
      <c r="C42" s="13" t="s">
        <v>17</v>
      </c>
      <c r="D42" s="13" t="s">
        <v>127</v>
      </c>
      <c r="E42" s="17" t="s">
        <v>7</v>
      </c>
      <c r="F42" s="13" t="s">
        <v>128</v>
      </c>
    </row>
    <row r="43" customFormat="false" ht="15" hidden="false" customHeight="false" outlineLevel="0" collapsed="false">
      <c r="A43" s="12" t="s">
        <v>15</v>
      </c>
      <c r="B43" s="13" t="s">
        <v>96</v>
      </c>
      <c r="C43" s="13" t="s">
        <v>17</v>
      </c>
      <c r="D43" s="13" t="s">
        <v>150</v>
      </c>
      <c r="E43" s="17" t="s">
        <v>10</v>
      </c>
      <c r="F43" s="13" t="s">
        <v>151</v>
      </c>
    </row>
    <row r="44" customFormat="false" ht="15" hidden="false" customHeight="false" outlineLevel="0" collapsed="false">
      <c r="A44" s="12" t="s">
        <v>15</v>
      </c>
      <c r="B44" s="13" t="s">
        <v>96</v>
      </c>
      <c r="C44" s="13" t="s">
        <v>19</v>
      </c>
      <c r="D44" s="13" t="s">
        <v>212</v>
      </c>
      <c r="E44" s="17" t="s">
        <v>8</v>
      </c>
      <c r="F44" s="13" t="s">
        <v>213</v>
      </c>
    </row>
    <row r="45" customFormat="false" ht="23.85" hidden="false" customHeight="false" outlineLevel="0" collapsed="false">
      <c r="A45" s="12" t="s">
        <v>15</v>
      </c>
      <c r="B45" s="13" t="s">
        <v>530</v>
      </c>
      <c r="C45" s="13" t="s">
        <v>32</v>
      </c>
      <c r="D45" s="13" t="s">
        <v>529</v>
      </c>
      <c r="E45" s="17" t="s">
        <v>10</v>
      </c>
      <c r="F45" s="13"/>
    </row>
    <row r="46" customFormat="false" ht="23.85" hidden="false" customHeight="false" outlineLevel="0" collapsed="false">
      <c r="A46" s="12" t="s">
        <v>15</v>
      </c>
      <c r="B46" s="13" t="s">
        <v>530</v>
      </c>
      <c r="C46" s="13" t="s">
        <v>32</v>
      </c>
      <c r="D46" s="13" t="s">
        <v>531</v>
      </c>
      <c r="E46" s="17" t="s">
        <v>10</v>
      </c>
      <c r="F46" s="13"/>
    </row>
    <row r="47" customFormat="false" ht="23.85" hidden="false" customHeight="false" outlineLevel="0" collapsed="false">
      <c r="A47" s="12" t="s">
        <v>15</v>
      </c>
      <c r="B47" s="13" t="s">
        <v>530</v>
      </c>
      <c r="C47" s="13" t="s">
        <v>32</v>
      </c>
      <c r="D47" s="13" t="s">
        <v>532</v>
      </c>
      <c r="E47" s="17" t="s">
        <v>10</v>
      </c>
      <c r="F47" s="13"/>
    </row>
    <row r="48" customFormat="false" ht="23.85" hidden="false" customHeight="false" outlineLevel="0" collapsed="false">
      <c r="A48" s="12" t="s">
        <v>15</v>
      </c>
      <c r="B48" s="13" t="s">
        <v>530</v>
      </c>
      <c r="C48" s="13" t="s">
        <v>32</v>
      </c>
      <c r="D48" s="13" t="s">
        <v>533</v>
      </c>
      <c r="E48" s="17" t="s">
        <v>8</v>
      </c>
      <c r="F48" s="13" t="s">
        <v>534</v>
      </c>
    </row>
    <row r="49" customFormat="false" ht="23.85" hidden="false" customHeight="false" outlineLevel="0" collapsed="false">
      <c r="A49" s="12" t="s">
        <v>15</v>
      </c>
      <c r="B49" s="13" t="s">
        <v>530</v>
      </c>
      <c r="C49" s="13" t="s">
        <v>32</v>
      </c>
      <c r="D49" s="13" t="s">
        <v>536</v>
      </c>
      <c r="E49" s="17" t="s">
        <v>10</v>
      </c>
      <c r="F49" s="13"/>
    </row>
    <row r="50" customFormat="false" ht="23.85" hidden="false" customHeight="false" outlineLevel="0" collapsed="false">
      <c r="A50" s="12" t="s">
        <v>15</v>
      </c>
      <c r="B50" s="13" t="s">
        <v>530</v>
      </c>
      <c r="C50" s="13" t="s">
        <v>32</v>
      </c>
      <c r="D50" s="13" t="s">
        <v>538</v>
      </c>
      <c r="E50" s="17" t="s">
        <v>10</v>
      </c>
      <c r="F50" s="13" t="s">
        <v>539</v>
      </c>
    </row>
    <row r="51" customFormat="false" ht="23.85" hidden="false" customHeight="false" outlineLevel="0" collapsed="false">
      <c r="A51" s="12" t="s">
        <v>15</v>
      </c>
      <c r="B51" s="13" t="s">
        <v>530</v>
      </c>
      <c r="C51" s="13" t="s">
        <v>32</v>
      </c>
      <c r="D51" s="13" t="s">
        <v>540</v>
      </c>
      <c r="E51" s="17" t="s">
        <v>10</v>
      </c>
      <c r="F51" s="13" t="s">
        <v>541</v>
      </c>
    </row>
    <row r="52" customFormat="false" ht="23.85" hidden="false" customHeight="false" outlineLevel="0" collapsed="false">
      <c r="A52" s="12" t="s">
        <v>15</v>
      </c>
      <c r="B52" s="13" t="s">
        <v>530</v>
      </c>
      <c r="C52" s="13" t="s">
        <v>32</v>
      </c>
      <c r="D52" s="13" t="s">
        <v>542</v>
      </c>
      <c r="E52" s="17" t="s">
        <v>10</v>
      </c>
      <c r="F52" s="13" t="s">
        <v>543</v>
      </c>
    </row>
    <row r="53" customFormat="false" ht="23.85" hidden="false" customHeight="false" outlineLevel="0" collapsed="false">
      <c r="A53" s="12" t="s">
        <v>15</v>
      </c>
      <c r="B53" s="13" t="s">
        <v>530</v>
      </c>
      <c r="C53" s="13" t="s">
        <v>32</v>
      </c>
      <c r="D53" s="13" t="s">
        <v>544</v>
      </c>
      <c r="E53" s="17" t="s">
        <v>10</v>
      </c>
      <c r="F53" s="13" t="s">
        <v>545</v>
      </c>
    </row>
    <row r="54" customFormat="false" ht="23.85" hidden="false" customHeight="false" outlineLevel="0" collapsed="false">
      <c r="A54" s="12" t="s">
        <v>15</v>
      </c>
      <c r="B54" s="13" t="s">
        <v>530</v>
      </c>
      <c r="C54" s="13" t="s">
        <v>32</v>
      </c>
      <c r="D54" s="13" t="s">
        <v>546</v>
      </c>
      <c r="E54" s="17" t="s">
        <v>10</v>
      </c>
      <c r="F54" s="13"/>
    </row>
    <row r="55" customFormat="false" ht="15" hidden="false" customHeight="false" outlineLevel="0" collapsed="false">
      <c r="A55" s="12" t="s">
        <v>15</v>
      </c>
      <c r="B55" s="13" t="s">
        <v>115</v>
      </c>
      <c r="C55" s="13" t="s">
        <v>31</v>
      </c>
      <c r="D55" s="13" t="s">
        <v>504</v>
      </c>
      <c r="E55" s="17" t="s">
        <v>10</v>
      </c>
      <c r="F55" s="13" t="s">
        <v>505</v>
      </c>
    </row>
    <row r="56" customFormat="false" ht="15" hidden="false" customHeight="false" outlineLevel="0" collapsed="false">
      <c r="A56" s="12" t="s">
        <v>15</v>
      </c>
      <c r="B56" s="13" t="s">
        <v>115</v>
      </c>
      <c r="C56" s="13" t="s">
        <v>31</v>
      </c>
      <c r="D56" s="13" t="s">
        <v>507</v>
      </c>
      <c r="E56" s="17" t="s">
        <v>10</v>
      </c>
      <c r="F56" s="13"/>
    </row>
    <row r="57" customFormat="false" ht="15" hidden="false" customHeight="false" outlineLevel="0" collapsed="false">
      <c r="A57" s="12" t="s">
        <v>15</v>
      </c>
      <c r="B57" s="13" t="s">
        <v>115</v>
      </c>
      <c r="C57" s="13" t="s">
        <v>31</v>
      </c>
      <c r="D57" s="13" t="s">
        <v>509</v>
      </c>
      <c r="E57" s="17" t="s">
        <v>10</v>
      </c>
      <c r="F57" s="13" t="s">
        <v>510</v>
      </c>
    </row>
    <row r="58" customFormat="false" ht="15" hidden="false" customHeight="false" outlineLevel="0" collapsed="false">
      <c r="A58" s="12" t="s">
        <v>15</v>
      </c>
      <c r="B58" s="13" t="s">
        <v>115</v>
      </c>
      <c r="C58" s="13" t="s">
        <v>31</v>
      </c>
      <c r="D58" s="13" t="s">
        <v>511</v>
      </c>
      <c r="E58" s="17" t="s">
        <v>10</v>
      </c>
      <c r="F58" s="13" t="s">
        <v>512</v>
      </c>
    </row>
    <row r="59" customFormat="false" ht="15" hidden="false" customHeight="false" outlineLevel="0" collapsed="false">
      <c r="A59" s="12" t="s">
        <v>15</v>
      </c>
      <c r="B59" s="13" t="s">
        <v>115</v>
      </c>
      <c r="C59" s="13" t="s">
        <v>31</v>
      </c>
      <c r="D59" s="13" t="s">
        <v>515</v>
      </c>
      <c r="E59" s="17" t="s">
        <v>8</v>
      </c>
      <c r="F59" s="13" t="s">
        <v>516</v>
      </c>
    </row>
    <row r="60" customFormat="false" ht="15" hidden="false" customHeight="false" outlineLevel="0" collapsed="false">
      <c r="A60" s="12" t="s">
        <v>15</v>
      </c>
      <c r="B60" s="13" t="s">
        <v>167</v>
      </c>
      <c r="C60" s="13" t="s">
        <v>20</v>
      </c>
      <c r="D60" s="13" t="s">
        <v>277</v>
      </c>
      <c r="E60" s="17" t="s">
        <v>8</v>
      </c>
      <c r="F60" s="13" t="s">
        <v>278</v>
      </c>
    </row>
    <row r="61" customFormat="false" ht="15" hidden="false" customHeight="false" outlineLevel="0" collapsed="false">
      <c r="A61" s="12" t="s">
        <v>15</v>
      </c>
      <c r="B61" s="13" t="s">
        <v>182</v>
      </c>
      <c r="C61" s="13" t="s">
        <v>18</v>
      </c>
      <c r="D61" s="13" t="s">
        <v>181</v>
      </c>
      <c r="E61" s="17" t="s">
        <v>8</v>
      </c>
      <c r="F61" s="13" t="s">
        <v>183</v>
      </c>
    </row>
    <row r="62" customFormat="false" ht="15" hidden="false" customHeight="false" outlineLevel="0" collapsed="false">
      <c r="A62" s="12" t="s">
        <v>15</v>
      </c>
      <c r="B62" s="13" t="s">
        <v>450</v>
      </c>
      <c r="C62" s="13" t="s">
        <v>29</v>
      </c>
      <c r="D62" s="13" t="s">
        <v>449</v>
      </c>
      <c r="E62" s="17" t="s">
        <v>10</v>
      </c>
      <c r="F62" s="13" t="s">
        <v>451</v>
      </c>
    </row>
    <row r="63" customFormat="false" ht="15" hidden="false" customHeight="false" outlineLevel="0" collapsed="false">
      <c r="A63" s="12" t="s">
        <v>15</v>
      </c>
      <c r="B63" s="13" t="s">
        <v>450</v>
      </c>
      <c r="C63" s="13" t="s">
        <v>29</v>
      </c>
      <c r="D63" s="13" t="s">
        <v>452</v>
      </c>
      <c r="E63" s="17" t="s">
        <v>10</v>
      </c>
      <c r="F63" s="13" t="s">
        <v>453</v>
      </c>
    </row>
    <row r="64" customFormat="false" ht="23.85" hidden="false" customHeight="false" outlineLevel="0" collapsed="false">
      <c r="A64" s="12" t="s">
        <v>15</v>
      </c>
      <c r="B64" s="13" t="s">
        <v>450</v>
      </c>
      <c r="C64" s="13" t="s">
        <v>29</v>
      </c>
      <c r="D64" s="13" t="s">
        <v>454</v>
      </c>
      <c r="E64" s="17" t="s">
        <v>8</v>
      </c>
      <c r="F64" s="13" t="s">
        <v>455</v>
      </c>
    </row>
    <row r="65" customFormat="false" ht="15" hidden="false" customHeight="false" outlineLevel="0" collapsed="false">
      <c r="A65" s="12" t="s">
        <v>15</v>
      </c>
      <c r="B65" s="13" t="s">
        <v>450</v>
      </c>
      <c r="C65" s="13" t="s">
        <v>29</v>
      </c>
      <c r="D65" s="13" t="s">
        <v>456</v>
      </c>
      <c r="E65" s="17" t="s">
        <v>10</v>
      </c>
      <c r="F65" s="13"/>
    </row>
    <row r="66" customFormat="false" ht="15" hidden="false" customHeight="false" outlineLevel="0" collapsed="false">
      <c r="A66" s="12" t="s">
        <v>15</v>
      </c>
      <c r="B66" s="13" t="s">
        <v>450</v>
      </c>
      <c r="C66" s="13" t="s">
        <v>29</v>
      </c>
      <c r="D66" s="13" t="s">
        <v>457</v>
      </c>
      <c r="E66" s="17" t="s">
        <v>8</v>
      </c>
      <c r="F66" s="13" t="s">
        <v>458</v>
      </c>
    </row>
    <row r="67" customFormat="false" ht="15" hidden="false" customHeight="false" outlineLevel="0" collapsed="false">
      <c r="A67" s="12" t="s">
        <v>15</v>
      </c>
      <c r="B67" s="13" t="s">
        <v>450</v>
      </c>
      <c r="C67" s="13" t="s">
        <v>29</v>
      </c>
      <c r="D67" s="13" t="s">
        <v>464</v>
      </c>
      <c r="E67" s="17" t="s">
        <v>10</v>
      </c>
      <c r="F67" s="13" t="s">
        <v>177</v>
      </c>
    </row>
    <row r="68" customFormat="false" ht="15" hidden="false" customHeight="false" outlineLevel="0" collapsed="false">
      <c r="A68" s="12" t="s">
        <v>15</v>
      </c>
      <c r="B68" s="13" t="s">
        <v>130</v>
      </c>
      <c r="C68" s="13" t="s">
        <v>17</v>
      </c>
      <c r="D68" s="13" t="s">
        <v>129</v>
      </c>
      <c r="E68" s="17" t="s">
        <v>7</v>
      </c>
      <c r="F68" s="13" t="s">
        <v>131</v>
      </c>
    </row>
    <row r="69" customFormat="false" ht="23.85" hidden="false" customHeight="false" outlineLevel="0" collapsed="false">
      <c r="A69" s="12" t="s">
        <v>15</v>
      </c>
      <c r="B69" s="13" t="s">
        <v>130</v>
      </c>
      <c r="C69" s="13" t="s">
        <v>17</v>
      </c>
      <c r="D69" s="13" t="s">
        <v>132</v>
      </c>
      <c r="E69" s="17" t="s">
        <v>10</v>
      </c>
      <c r="F69" s="13" t="s">
        <v>133</v>
      </c>
    </row>
    <row r="70" customFormat="false" ht="15" hidden="false" customHeight="false" outlineLevel="0" collapsed="false">
      <c r="A70" s="12" t="s">
        <v>15</v>
      </c>
      <c r="B70" s="13" t="s">
        <v>130</v>
      </c>
      <c r="C70" s="13" t="s">
        <v>17</v>
      </c>
      <c r="D70" s="13" t="s">
        <v>139</v>
      </c>
      <c r="E70" s="17" t="s">
        <v>10</v>
      </c>
      <c r="F70" s="13" t="s">
        <v>140</v>
      </c>
    </row>
    <row r="71" customFormat="false" ht="15" hidden="false" customHeight="false" outlineLevel="0" collapsed="false">
      <c r="A71" s="12" t="s">
        <v>15</v>
      </c>
      <c r="B71" s="13" t="s">
        <v>130</v>
      </c>
      <c r="C71" s="13" t="s">
        <v>17</v>
      </c>
      <c r="D71" s="13" t="s">
        <v>141</v>
      </c>
      <c r="E71" s="17" t="s">
        <v>10</v>
      </c>
      <c r="F71" s="13" t="s">
        <v>142</v>
      </c>
    </row>
    <row r="72" customFormat="false" ht="23.85" hidden="false" customHeight="false" outlineLevel="0" collapsed="false">
      <c r="A72" s="12" t="s">
        <v>15</v>
      </c>
      <c r="B72" s="13" t="s">
        <v>130</v>
      </c>
      <c r="C72" s="13" t="s">
        <v>17</v>
      </c>
      <c r="D72" s="13" t="s">
        <v>143</v>
      </c>
      <c r="E72" s="17" t="s">
        <v>8</v>
      </c>
      <c r="F72" s="13" t="s">
        <v>144</v>
      </c>
    </row>
    <row r="73" customFormat="false" ht="15" hidden="false" customHeight="false" outlineLevel="0" collapsed="false">
      <c r="A73" s="12" t="s">
        <v>15</v>
      </c>
      <c r="B73" s="13" t="s">
        <v>130</v>
      </c>
      <c r="C73" s="13" t="s">
        <v>17</v>
      </c>
      <c r="D73" s="13" t="s">
        <v>155</v>
      </c>
      <c r="E73" s="17" t="s">
        <v>8</v>
      </c>
      <c r="F73" s="13" t="s">
        <v>156</v>
      </c>
    </row>
    <row r="74" customFormat="false" ht="23.85" hidden="false" customHeight="false" outlineLevel="0" collapsed="false">
      <c r="A74" s="12" t="s">
        <v>15</v>
      </c>
      <c r="B74" s="13" t="s">
        <v>130</v>
      </c>
      <c r="C74" s="13" t="s">
        <v>17</v>
      </c>
      <c r="D74" s="13" t="s">
        <v>157</v>
      </c>
      <c r="E74" s="17" t="s">
        <v>8</v>
      </c>
      <c r="F74" s="13" t="s">
        <v>158</v>
      </c>
    </row>
    <row r="75" customFormat="false" ht="15" hidden="false" customHeight="false" outlineLevel="0" collapsed="false">
      <c r="A75" s="12" t="s">
        <v>15</v>
      </c>
      <c r="B75" s="13" t="s">
        <v>130</v>
      </c>
      <c r="C75" s="13" t="s">
        <v>17</v>
      </c>
      <c r="D75" s="13" t="s">
        <v>162</v>
      </c>
      <c r="E75" s="17" t="s">
        <v>10</v>
      </c>
      <c r="F75" s="13" t="s">
        <v>163</v>
      </c>
    </row>
    <row r="76" customFormat="false" ht="15" hidden="false" customHeight="false" outlineLevel="0" collapsed="false">
      <c r="A76" s="12" t="s">
        <v>15</v>
      </c>
      <c r="B76" s="13" t="s">
        <v>130</v>
      </c>
      <c r="C76" s="13" t="s">
        <v>17</v>
      </c>
      <c r="D76" s="13" t="s">
        <v>168</v>
      </c>
      <c r="E76" s="17" t="s">
        <v>10</v>
      </c>
      <c r="F76" s="13" t="s">
        <v>169</v>
      </c>
    </row>
    <row r="77" customFormat="false" ht="35.05" hidden="false" customHeight="false" outlineLevel="0" collapsed="false">
      <c r="A77" s="12" t="s">
        <v>15</v>
      </c>
      <c r="B77" s="13" t="s">
        <v>130</v>
      </c>
      <c r="C77" s="13" t="s">
        <v>17</v>
      </c>
      <c r="D77" s="13" t="s">
        <v>601</v>
      </c>
      <c r="E77" s="17" t="s">
        <v>8</v>
      </c>
      <c r="F77" s="13" t="s">
        <v>602</v>
      </c>
    </row>
    <row r="78" customFormat="false" ht="23.85" hidden="false" customHeight="false" outlineLevel="0" collapsed="false">
      <c r="A78" s="12" t="s">
        <v>15</v>
      </c>
      <c r="B78" s="13" t="s">
        <v>130</v>
      </c>
      <c r="C78" s="13" t="s">
        <v>17</v>
      </c>
      <c r="D78" s="13" t="s">
        <v>603</v>
      </c>
      <c r="E78" s="17" t="s">
        <v>8</v>
      </c>
      <c r="F78" s="13" t="s">
        <v>604</v>
      </c>
    </row>
    <row r="79" customFormat="false" ht="15" hidden="false" customHeight="false" outlineLevel="0" collapsed="false">
      <c r="A79" s="12" t="s">
        <v>15</v>
      </c>
      <c r="B79" s="13" t="s">
        <v>176</v>
      </c>
      <c r="C79" s="13" t="s">
        <v>18</v>
      </c>
      <c r="D79" s="13" t="s">
        <v>175</v>
      </c>
      <c r="E79" s="17" t="s">
        <v>10</v>
      </c>
      <c r="F79" s="13" t="s">
        <v>177</v>
      </c>
    </row>
    <row r="80" customFormat="false" ht="15" hidden="false" customHeight="false" outlineLevel="0" collapsed="false">
      <c r="A80" s="12" t="s">
        <v>15</v>
      </c>
      <c r="B80" s="13" t="s">
        <v>176</v>
      </c>
      <c r="C80" s="13" t="s">
        <v>18</v>
      </c>
      <c r="D80" s="13" t="s">
        <v>178</v>
      </c>
      <c r="E80" s="17" t="s">
        <v>10</v>
      </c>
      <c r="F80" s="13"/>
    </row>
    <row r="81" customFormat="false" ht="23.85" hidden="false" customHeight="false" outlineLevel="0" collapsed="false">
      <c r="A81" s="12" t="s">
        <v>15</v>
      </c>
      <c r="B81" s="13" t="s">
        <v>176</v>
      </c>
      <c r="C81" s="13" t="s">
        <v>18</v>
      </c>
      <c r="D81" s="13" t="s">
        <v>179</v>
      </c>
      <c r="E81" s="17" t="s">
        <v>8</v>
      </c>
      <c r="F81" s="13" t="s">
        <v>180</v>
      </c>
    </row>
    <row r="82" customFormat="false" ht="23.85" hidden="false" customHeight="false" outlineLevel="0" collapsed="false">
      <c r="A82" s="12" t="s">
        <v>15</v>
      </c>
      <c r="B82" s="13" t="s">
        <v>606</v>
      </c>
      <c r="C82" s="13" t="s">
        <v>18</v>
      </c>
      <c r="D82" s="13" t="s">
        <v>605</v>
      </c>
      <c r="E82" s="17" t="s">
        <v>10</v>
      </c>
      <c r="F82" s="13" t="s">
        <v>607</v>
      </c>
    </row>
    <row r="83" customFormat="false" ht="23.85" hidden="false" customHeight="false" outlineLevel="0" collapsed="false">
      <c r="A83" s="12" t="s">
        <v>15</v>
      </c>
      <c r="B83" s="13" t="s">
        <v>306</v>
      </c>
      <c r="C83" s="13" t="s">
        <v>21</v>
      </c>
      <c r="D83" s="13" t="s">
        <v>305</v>
      </c>
      <c r="E83" s="17" t="s">
        <v>8</v>
      </c>
      <c r="F83" s="13" t="s">
        <v>307</v>
      </c>
    </row>
    <row r="84" customFormat="false" ht="23.85" hidden="false" customHeight="false" outlineLevel="0" collapsed="false">
      <c r="A84" s="12" t="s">
        <v>15</v>
      </c>
      <c r="B84" s="13" t="s">
        <v>622</v>
      </c>
      <c r="C84" s="13" t="s">
        <v>35</v>
      </c>
      <c r="D84" s="13" t="s">
        <v>621</v>
      </c>
      <c r="E84" s="17" t="s">
        <v>10</v>
      </c>
      <c r="F84" s="13" t="s">
        <v>623</v>
      </c>
    </row>
    <row r="85" customFormat="false" ht="23.85" hidden="false" customHeight="false" outlineLevel="0" collapsed="false">
      <c r="A85" s="12" t="s">
        <v>15</v>
      </c>
      <c r="B85" s="13" t="s">
        <v>622</v>
      </c>
      <c r="C85" s="13" t="s">
        <v>35</v>
      </c>
      <c r="D85" s="13" t="s">
        <v>624</v>
      </c>
      <c r="E85" s="17" t="s">
        <v>10</v>
      </c>
      <c r="F85" s="13"/>
    </row>
    <row r="86" customFormat="false" ht="23.85" hidden="false" customHeight="false" outlineLevel="0" collapsed="false">
      <c r="A86" s="12" t="s">
        <v>15</v>
      </c>
      <c r="B86" s="13" t="s">
        <v>622</v>
      </c>
      <c r="C86" s="13" t="s">
        <v>35</v>
      </c>
      <c r="D86" s="13" t="s">
        <v>625</v>
      </c>
      <c r="E86" s="17" t="s">
        <v>10</v>
      </c>
      <c r="F86" s="13" t="s">
        <v>626</v>
      </c>
    </row>
    <row r="87" customFormat="false" ht="23.85" hidden="false" customHeight="false" outlineLevel="0" collapsed="false">
      <c r="A87" s="12" t="s">
        <v>15</v>
      </c>
      <c r="B87" s="13" t="s">
        <v>635</v>
      </c>
      <c r="C87" s="13" t="s">
        <v>35</v>
      </c>
      <c r="D87" s="13" t="s">
        <v>634</v>
      </c>
      <c r="E87" s="17" t="s">
        <v>10</v>
      </c>
      <c r="F87" s="13" t="s">
        <v>123</v>
      </c>
    </row>
    <row r="88" customFormat="false" ht="23.85" hidden="false" customHeight="false" outlineLevel="0" collapsed="false">
      <c r="A88" s="12" t="s">
        <v>15</v>
      </c>
      <c r="B88" s="13" t="s">
        <v>635</v>
      </c>
      <c r="C88" s="13" t="s">
        <v>35</v>
      </c>
      <c r="D88" s="13" t="s">
        <v>636</v>
      </c>
      <c r="E88" s="17" t="s">
        <v>10</v>
      </c>
      <c r="F88" s="13" t="s">
        <v>637</v>
      </c>
    </row>
    <row r="89" customFormat="false" ht="23.85" hidden="false" customHeight="false" outlineLevel="0" collapsed="false">
      <c r="A89" s="12" t="s">
        <v>15</v>
      </c>
      <c r="B89" s="13" t="s">
        <v>109</v>
      </c>
      <c r="C89" s="13" t="s">
        <v>35</v>
      </c>
      <c r="D89" s="13" t="s">
        <v>645</v>
      </c>
      <c r="E89" s="17" t="s">
        <v>8</v>
      </c>
      <c r="F89" s="13" t="s">
        <v>646</v>
      </c>
    </row>
    <row r="90" customFormat="false" ht="23.85" hidden="false" customHeight="false" outlineLevel="0" collapsed="false">
      <c r="A90" s="12" t="s">
        <v>15</v>
      </c>
      <c r="B90" s="13" t="s">
        <v>109</v>
      </c>
      <c r="C90" s="13" t="s">
        <v>35</v>
      </c>
      <c r="D90" s="13" t="s">
        <v>647</v>
      </c>
      <c r="E90" s="17" t="s">
        <v>8</v>
      </c>
      <c r="F90" s="13" t="s">
        <v>648</v>
      </c>
    </row>
    <row r="91" customFormat="false" ht="23.85" hidden="false" customHeight="false" outlineLevel="0" collapsed="false">
      <c r="A91" s="12" t="s">
        <v>15</v>
      </c>
      <c r="B91" s="13" t="s">
        <v>109</v>
      </c>
      <c r="C91" s="13" t="s">
        <v>35</v>
      </c>
      <c r="D91" s="13" t="s">
        <v>649</v>
      </c>
      <c r="E91" s="17" t="s">
        <v>10</v>
      </c>
      <c r="F91" s="13"/>
    </row>
    <row r="92" customFormat="false" ht="23.85" hidden="false" customHeight="false" outlineLevel="0" collapsed="false">
      <c r="A92" s="12" t="s">
        <v>15</v>
      </c>
      <c r="B92" s="13" t="s">
        <v>109</v>
      </c>
      <c r="C92" s="13" t="s">
        <v>35</v>
      </c>
      <c r="D92" s="13" t="s">
        <v>663</v>
      </c>
      <c r="E92" s="17" t="s">
        <v>10</v>
      </c>
      <c r="F92" s="13" t="s">
        <v>664</v>
      </c>
    </row>
    <row r="93" customFormat="false" ht="15" hidden="false" customHeight="false" outlineLevel="0" collapsed="false">
      <c r="A93" s="12" t="s">
        <v>15</v>
      </c>
      <c r="B93" s="13" t="s">
        <v>583</v>
      </c>
      <c r="C93" s="13" t="s">
        <v>34</v>
      </c>
      <c r="D93" s="13" t="s">
        <v>582</v>
      </c>
      <c r="E93" s="17" t="s">
        <v>8</v>
      </c>
      <c r="F93" s="13" t="s">
        <v>584</v>
      </c>
    </row>
    <row r="94" customFormat="false" ht="15" hidden="false" customHeight="false" outlineLevel="0" collapsed="false">
      <c r="A94" s="12" t="s">
        <v>15</v>
      </c>
      <c r="B94" s="13" t="s">
        <v>583</v>
      </c>
      <c r="C94" s="13" t="s">
        <v>34</v>
      </c>
      <c r="D94" s="13" t="s">
        <v>588</v>
      </c>
      <c r="E94" s="17" t="s">
        <v>10</v>
      </c>
      <c r="F94" s="13" t="s">
        <v>589</v>
      </c>
    </row>
    <row r="95" customFormat="false" ht="23.85" hidden="false" customHeight="false" outlineLevel="0" collapsed="false">
      <c r="A95" s="12" t="s">
        <v>15</v>
      </c>
      <c r="B95" s="13" t="s">
        <v>289</v>
      </c>
      <c r="C95" s="13" t="s">
        <v>35</v>
      </c>
      <c r="D95" s="13" t="s">
        <v>653</v>
      </c>
      <c r="E95" s="17" t="s">
        <v>8</v>
      </c>
      <c r="F95" s="13" t="s">
        <v>654</v>
      </c>
    </row>
    <row r="96" customFormat="false" ht="23.85" hidden="false" customHeight="false" outlineLevel="0" collapsed="false">
      <c r="A96" s="12" t="s">
        <v>15</v>
      </c>
      <c r="B96" s="13" t="s">
        <v>195</v>
      </c>
      <c r="C96" s="13" t="s">
        <v>19</v>
      </c>
      <c r="D96" s="13" t="s">
        <v>216</v>
      </c>
      <c r="E96" s="17" t="s">
        <v>7</v>
      </c>
      <c r="F96" s="13" t="s">
        <v>217</v>
      </c>
    </row>
    <row r="97" customFormat="false" ht="15" hidden="false" customHeight="false" outlineLevel="0" collapsed="false">
      <c r="A97" s="12" t="s">
        <v>15</v>
      </c>
      <c r="B97" s="13" t="s">
        <v>254</v>
      </c>
      <c r="C97" s="13" t="s">
        <v>20</v>
      </c>
      <c r="D97" s="13" t="s">
        <v>253</v>
      </c>
      <c r="E97" s="17" t="s">
        <v>10</v>
      </c>
      <c r="F97" s="13"/>
    </row>
    <row r="98" customFormat="false" ht="23.85" hidden="false" customHeight="false" outlineLevel="0" collapsed="false">
      <c r="A98" s="12" t="s">
        <v>15</v>
      </c>
      <c r="B98" s="13" t="s">
        <v>254</v>
      </c>
      <c r="C98" s="13" t="s">
        <v>21</v>
      </c>
      <c r="D98" s="13" t="s">
        <v>282</v>
      </c>
      <c r="E98" s="17" t="s">
        <v>10</v>
      </c>
      <c r="F98" s="13" t="s">
        <v>283</v>
      </c>
    </row>
    <row r="99" customFormat="false" ht="23.85" hidden="false" customHeight="false" outlineLevel="0" collapsed="false">
      <c r="A99" s="12" t="s">
        <v>15</v>
      </c>
      <c r="B99" s="13" t="s">
        <v>254</v>
      </c>
      <c r="C99" s="13" t="s">
        <v>21</v>
      </c>
      <c r="D99" s="13" t="s">
        <v>284</v>
      </c>
      <c r="E99" s="17" t="s">
        <v>10</v>
      </c>
      <c r="F99" s="13" t="s">
        <v>285</v>
      </c>
    </row>
    <row r="100" customFormat="false" ht="23.85" hidden="false" customHeight="false" outlineLevel="0" collapsed="false">
      <c r="A100" s="12" t="s">
        <v>15</v>
      </c>
      <c r="B100" s="13" t="s">
        <v>254</v>
      </c>
      <c r="C100" s="13" t="s">
        <v>21</v>
      </c>
      <c r="D100" s="13" t="s">
        <v>286</v>
      </c>
      <c r="E100" s="17" t="s">
        <v>8</v>
      </c>
      <c r="F100" s="13" t="s">
        <v>287</v>
      </c>
    </row>
    <row r="101" customFormat="false" ht="23.85" hidden="false" customHeight="false" outlineLevel="0" collapsed="false">
      <c r="A101" s="12" t="s">
        <v>15</v>
      </c>
      <c r="B101" s="13" t="s">
        <v>254</v>
      </c>
      <c r="C101" s="13" t="s">
        <v>21</v>
      </c>
      <c r="D101" s="13" t="s">
        <v>303</v>
      </c>
      <c r="E101" s="17" t="s">
        <v>8</v>
      </c>
      <c r="F101" s="13" t="s">
        <v>304</v>
      </c>
    </row>
    <row r="102" customFormat="false" ht="23.85" hidden="false" customHeight="false" outlineLevel="0" collapsed="false">
      <c r="A102" s="12" t="s">
        <v>15</v>
      </c>
      <c r="B102" s="13" t="s">
        <v>641</v>
      </c>
      <c r="C102" s="13" t="s">
        <v>35</v>
      </c>
      <c r="D102" s="13" t="s">
        <v>643</v>
      </c>
      <c r="E102" s="17" t="s">
        <v>10</v>
      </c>
      <c r="F102" s="13" t="s">
        <v>644</v>
      </c>
    </row>
  </sheetData>
  <autoFilter ref="A4:F102"/>
  <conditionalFormatting sqref="A5:A102">
    <cfRule type="cellIs" priority="2" operator="equal" aboveAverage="0" equalAverage="0" bottom="0" percent="0" rank="0" text="" dxfId="29">
      <formula>"P0"</formula>
    </cfRule>
    <cfRule type="cellIs" priority="3" operator="equal" aboveAverage="0" equalAverage="0" bottom="0" percent="0" rank="0" text="" dxfId="30">
      <formula>"P1"</formula>
    </cfRule>
    <cfRule type="cellIs" priority="4" operator="equal" aboveAverage="0" equalAverage="0" bottom="0" percent="0" rank="0" text="" dxfId="31">
      <formula>"P2"</formula>
    </cfRule>
    <cfRule type="cellIs" priority="5" operator="equal" aboveAverage="0" equalAverage="0" bottom="0" percent="0" rank="0" text="" dxfId="32">
      <formula>"P3"</formula>
    </cfRule>
  </conditionalFormatting>
  <conditionalFormatting sqref="E5:E102">
    <cfRule type="cellIs" priority="6" operator="equal" aboveAverage="0" equalAverage="0" bottom="0" percent="0" rank="0" text="" dxfId="24">
      <formula>"Absent"</formula>
    </cfRule>
    <cfRule type="cellIs" priority="7" operator="equal" aboveAverage="0" equalAverage="0" bottom="0" percent="0" rank="0" text="" dxfId="25">
      <formula>"Mock"</formula>
    </cfRule>
    <cfRule type="cellIs" priority="8" operator="equal" aboveAverage="0" equalAverage="0" bottom="0" percent="0" rank="0" text="" dxfId="26">
      <formula>"Partial"</formula>
    </cfRule>
    <cfRule type="cellIs" priority="9" operator="equal" aboveAverage="0" equalAverage="0" bottom="0" percent="0" rank="0" text="" dxfId="27">
      <formula>"Present"</formula>
    </cfRule>
    <cfRule type="cellIs" priority="10" operator="equal" aboveAverage="0" equalAverage="0" bottom="0" percent="0" rank="0" text="" dxfId="28">
      <formula>"Strong"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8" t="s">
        <v>808</v>
      </c>
    </row>
    <row r="3" customFormat="false" ht="15" hidden="false" customHeight="false" outlineLevel="0" collapsed="false">
      <c r="A3" s="23"/>
      <c r="B3" s="24"/>
      <c r="C3" s="23"/>
    </row>
    <row r="4" customFormat="false" ht="15" hidden="false" customHeight="false" outlineLevel="0" collapsed="false">
      <c r="A4" s="25" t="s">
        <v>809</v>
      </c>
      <c r="B4" s="26" t="s">
        <v>39</v>
      </c>
      <c r="C4" s="25" t="s">
        <v>810</v>
      </c>
    </row>
    <row r="5" customFormat="false" ht="15" hidden="false" customHeight="false" outlineLevel="0" collapsed="false">
      <c r="A5" s="23" t="s">
        <v>6</v>
      </c>
      <c r="B5" s="24" t="s">
        <v>811</v>
      </c>
      <c r="C5" s="23" t="s">
        <v>812</v>
      </c>
    </row>
    <row r="6" customFormat="false" ht="15" hidden="false" customHeight="false" outlineLevel="0" collapsed="false">
      <c r="A6" s="23" t="s">
        <v>7</v>
      </c>
      <c r="B6" s="24" t="s">
        <v>813</v>
      </c>
      <c r="C6" s="23" t="s">
        <v>814</v>
      </c>
    </row>
    <row r="7" customFormat="false" ht="15" hidden="false" customHeight="false" outlineLevel="0" collapsed="false">
      <c r="A7" s="23" t="s">
        <v>8</v>
      </c>
      <c r="B7" s="24" t="s">
        <v>815</v>
      </c>
      <c r="C7" s="23" t="s">
        <v>816</v>
      </c>
    </row>
    <row r="8" customFormat="false" ht="15" hidden="false" customHeight="false" outlineLevel="0" collapsed="false">
      <c r="A8" s="23" t="s">
        <v>9</v>
      </c>
      <c r="B8" s="24" t="s">
        <v>817</v>
      </c>
      <c r="C8" s="23" t="s">
        <v>818</v>
      </c>
    </row>
    <row r="9" customFormat="false" ht="15" hidden="false" customHeight="false" outlineLevel="0" collapsed="false">
      <c r="A9" s="23" t="s">
        <v>10</v>
      </c>
      <c r="B9" s="24" t="s">
        <v>819</v>
      </c>
      <c r="C9" s="23" t="s">
        <v>820</v>
      </c>
    </row>
    <row r="10" customFormat="false" ht="15" hidden="false" customHeight="false" outlineLevel="0" collapsed="false">
      <c r="A10" s="23"/>
      <c r="B10" s="24"/>
      <c r="C10" s="23"/>
    </row>
    <row r="11" customFormat="false" ht="15" hidden="false" customHeight="false" outlineLevel="0" collapsed="false">
      <c r="A11" s="25" t="s">
        <v>821</v>
      </c>
      <c r="B11" s="26" t="s">
        <v>39</v>
      </c>
      <c r="C11" s="25"/>
    </row>
    <row r="12" customFormat="false" ht="15" hidden="false" customHeight="false" outlineLevel="0" collapsed="false">
      <c r="A12" s="25" t="s">
        <v>41</v>
      </c>
      <c r="B12" s="26" t="s">
        <v>822</v>
      </c>
      <c r="C12" s="25"/>
    </row>
    <row r="13" customFormat="false" ht="15" hidden="false" customHeight="false" outlineLevel="0" collapsed="false">
      <c r="A13" s="25" t="s">
        <v>43</v>
      </c>
      <c r="B13" s="26" t="s">
        <v>823</v>
      </c>
      <c r="C13" s="25"/>
    </row>
    <row r="14" customFormat="false" ht="15" hidden="false" customHeight="false" outlineLevel="0" collapsed="false">
      <c r="A14" s="25" t="s">
        <v>45</v>
      </c>
      <c r="B14" s="26" t="s">
        <v>46</v>
      </c>
      <c r="C14" s="25"/>
    </row>
    <row r="15" customFormat="false" ht="15" hidden="false" customHeight="false" outlineLevel="0" collapsed="false">
      <c r="A15" s="23"/>
      <c r="B15" s="24"/>
      <c r="C15" s="23"/>
    </row>
    <row r="16" customFormat="false" ht="15" hidden="false" customHeight="false" outlineLevel="0" collapsed="false">
      <c r="A16" s="25" t="s">
        <v>824</v>
      </c>
      <c r="B16" s="26" t="s">
        <v>39</v>
      </c>
      <c r="C16" s="25" t="s">
        <v>825</v>
      </c>
    </row>
    <row r="17" customFormat="false" ht="15" hidden="false" customHeight="false" outlineLevel="0" collapsed="false">
      <c r="A17" s="25" t="s">
        <v>14</v>
      </c>
      <c r="B17" s="26" t="s">
        <v>826</v>
      </c>
      <c r="C17" s="25" t="s">
        <v>827</v>
      </c>
    </row>
    <row r="18" customFormat="false" ht="15" hidden="false" customHeight="false" outlineLevel="0" collapsed="false">
      <c r="A18" s="25" t="s">
        <v>15</v>
      </c>
      <c r="B18" s="26" t="s">
        <v>828</v>
      </c>
      <c r="C18" s="25" t="s">
        <v>829</v>
      </c>
    </row>
    <row r="19" customFormat="false" ht="15" hidden="false" customHeight="false" outlineLevel="0" collapsed="false">
      <c r="A19" s="25" t="s">
        <v>51</v>
      </c>
      <c r="B19" s="26" t="s">
        <v>830</v>
      </c>
      <c r="C19" s="25" t="s">
        <v>831</v>
      </c>
    </row>
    <row r="20" customFormat="false" ht="15" hidden="false" customHeight="false" outlineLevel="0" collapsed="false">
      <c r="A20" s="25" t="s">
        <v>53</v>
      </c>
      <c r="B20" s="26" t="s">
        <v>832</v>
      </c>
      <c r="C20" s="25" t="s">
        <v>833</v>
      </c>
    </row>
    <row r="21" customFormat="false" ht="15" hidden="false" customHeight="false" outlineLevel="0" collapsed="false">
      <c r="A21" s="23"/>
      <c r="B21" s="24"/>
      <c r="C21" s="23"/>
    </row>
    <row r="22" customFormat="false" ht="15" hidden="false" customHeight="false" outlineLevel="0" collapsed="false">
      <c r="A22" s="25" t="s">
        <v>834</v>
      </c>
      <c r="B22" s="26" t="s">
        <v>39</v>
      </c>
      <c r="C22" s="25"/>
    </row>
    <row r="23" customFormat="false" ht="15" hidden="false" customHeight="false" outlineLevel="0" collapsed="false">
      <c r="A23" s="23" t="s">
        <v>69</v>
      </c>
      <c r="B23" s="24" t="s">
        <v>835</v>
      </c>
      <c r="C23" s="23"/>
    </row>
    <row r="24" customFormat="false" ht="15" hidden="false" customHeight="false" outlineLevel="0" collapsed="false">
      <c r="A24" s="23" t="s">
        <v>8</v>
      </c>
      <c r="B24" s="24" t="s">
        <v>836</v>
      </c>
      <c r="C24" s="23"/>
    </row>
    <row r="25" customFormat="false" ht="15" hidden="false" customHeight="false" outlineLevel="0" collapsed="false">
      <c r="A25" s="23" t="s">
        <v>112</v>
      </c>
      <c r="B25" s="24" t="s">
        <v>837</v>
      </c>
      <c r="C25" s="23"/>
    </row>
    <row r="26" customFormat="false" ht="15" hidden="false" customHeight="false" outlineLevel="0" collapsed="false">
      <c r="A26" s="23" t="s">
        <v>103</v>
      </c>
      <c r="B26" s="24" t="s">
        <v>838</v>
      </c>
      <c r="C26" s="23"/>
    </row>
    <row r="27" customFormat="false" ht="15" hidden="false" customHeight="false" outlineLevel="0" collapsed="false">
      <c r="A27" s="23"/>
      <c r="B27" s="24"/>
      <c r="C27" s="23"/>
    </row>
    <row r="28" customFormat="false" ht="15" hidden="false" customHeight="false" outlineLevel="0" collapsed="false">
      <c r="A28" s="25" t="s">
        <v>839</v>
      </c>
      <c r="B28" s="26"/>
      <c r="C28" s="25"/>
    </row>
    <row r="29" customFormat="false" ht="35.05" hidden="false" customHeight="false" outlineLevel="0" collapsed="false">
      <c r="A29" s="23" t="s">
        <v>840</v>
      </c>
      <c r="B29" s="24" t="s">
        <v>841</v>
      </c>
      <c r="C29" s="23"/>
    </row>
    <row r="30" customFormat="false" ht="23.85" hidden="false" customHeight="false" outlineLevel="0" collapsed="false">
      <c r="A30" s="23" t="s">
        <v>64</v>
      </c>
      <c r="B30" s="24" t="s">
        <v>842</v>
      </c>
      <c r="C30" s="23"/>
    </row>
    <row r="31" customFormat="false" ht="23.85" hidden="false" customHeight="false" outlineLevel="0" collapsed="false">
      <c r="A31" s="23" t="s">
        <v>843</v>
      </c>
      <c r="B31" s="24" t="s">
        <v>844</v>
      </c>
      <c r="C31" s="23"/>
    </row>
    <row r="32" customFormat="false" ht="35.05" hidden="false" customHeight="false" outlineLevel="0" collapsed="false">
      <c r="A32" s="23" t="s">
        <v>845</v>
      </c>
      <c r="B32" s="24" t="s">
        <v>846</v>
      </c>
      <c r="C32" s="23"/>
    </row>
    <row r="33" customFormat="false" ht="23.85" hidden="false" customHeight="false" outlineLevel="0" collapsed="false">
      <c r="A33" s="23" t="s">
        <v>847</v>
      </c>
      <c r="B33" s="24" t="s">
        <v>848</v>
      </c>
      <c r="C33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2026-08-09T09:46:08Z</dcterms:created>
  <dc:creator>openpyxl</dc:creator>
  <dc:description/>
  <dc:language>en-US</dc:language>
  <cp:lastModifiedBy/>
  <dcterms:modified xsi:type="dcterms:W3CDTF">2026-08-09T09:46:08Z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